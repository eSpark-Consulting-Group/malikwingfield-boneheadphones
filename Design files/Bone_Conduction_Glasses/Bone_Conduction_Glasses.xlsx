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malikwingfield-boneheadphones\Design files\Bone_Conduction_Glasses\"/>
    </mc:Choice>
  </mc:AlternateContent>
  <xr:revisionPtr revIDLastSave="0" documentId="13_ncr:1_{31D79C70-4D9D-4ABC-B394-6700E62A9BE4}" xr6:coauthVersionLast="47" xr6:coauthVersionMax="47" xr10:uidLastSave="{00000000-0000-0000-0000-000000000000}"/>
  <bookViews>
    <workbookView xWindow="-108" yWindow="-108" windowWidth="23256" windowHeight="12456" xr2:uid="{218A5F70-0645-43BA-86A1-89907875F524}"/>
  </bookViews>
  <sheets>
    <sheet name="Bone_Conduction_Glasses" sheetId="1" r:id="rId1"/>
  </sheets>
  <definedNames>
    <definedName name="_xlnm.Print_Titles" localSheetId="0">Bone_Conduction_Glasses!$1:$1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" i="1"/>
</calcChain>
</file>

<file path=xl/sharedStrings.xml><?xml version="1.0" encoding="utf-8"?>
<sst xmlns="http://schemas.openxmlformats.org/spreadsheetml/2006/main" count="244" uniqueCount="167">
  <si>
    <t>Description</t>
  </si>
  <si>
    <t>Designator</t>
  </si>
  <si>
    <t>Footprint</t>
  </si>
  <si>
    <t>Quantity</t>
  </si>
  <si>
    <t>LCSC Part Number</t>
  </si>
  <si>
    <t>Manufacturer</t>
  </si>
  <si>
    <t>Manufacturer Part Number</t>
  </si>
  <si>
    <t>ANT3216LL00R2400A</t>
  </si>
  <si>
    <t>5.05dBi Chip antenna Linear 160MHz 2.45GHz 1W 1206 Antennas ROHS</t>
  </si>
  <si>
    <t>ANT1</t>
  </si>
  <si>
    <t>C293767</t>
  </si>
  <si>
    <t>YAGEO</t>
  </si>
  <si>
    <t>1uF</t>
  </si>
  <si>
    <t>CAP CER 1UF 6.3V X5R 0201</t>
  </si>
  <si>
    <t>C1, C4, C5, C6, C7, C8, C9, C11, C12, C13, C14, C16, C17, C23, C28, C29, C30, C31, C33, C34, C35, C36</t>
  </si>
  <si>
    <t>Cap-0201</t>
  </si>
  <si>
    <t>CC0201KRX5R5BB105</t>
  </si>
  <si>
    <t>C541330</t>
  </si>
  <si>
    <t>Yageo</t>
  </si>
  <si>
    <t>10uF</t>
  </si>
  <si>
    <t>CAP CER 10UF 10V X5R 0402</t>
  </si>
  <si>
    <t>C2, C10, C21, C22, C24, C26</t>
  </si>
  <si>
    <t>Cap-0402</t>
  </si>
  <si>
    <t>CL05A106MP5NUNC</t>
  </si>
  <si>
    <t>C315248</t>
  </si>
  <si>
    <t>Samsung</t>
  </si>
  <si>
    <t>0.1uF</t>
  </si>
  <si>
    <t>CAP CER 0.1UF 10V X5R 0201</t>
  </si>
  <si>
    <t>C3, C25, C27, C32</t>
  </si>
  <si>
    <t>CAP-0201</t>
  </si>
  <si>
    <t>CC0201KRX5R6BB104</t>
  </si>
  <si>
    <t>C190183</t>
  </si>
  <si>
    <t>2pF</t>
  </si>
  <si>
    <t>CAP CER 2PF 25V C0G/NP0 0201</t>
  </si>
  <si>
    <t>C15</t>
  </si>
  <si>
    <t>GRM0335C1E2R0BA01D</t>
  </si>
  <si>
    <t>C161383</t>
  </si>
  <si>
    <t>Murata</t>
  </si>
  <si>
    <t>1.3pF</t>
  </si>
  <si>
    <t>CAP CER 1.3PF 50V C0G/NP0 0201</t>
  </si>
  <si>
    <t>C18</t>
  </si>
  <si>
    <t>GRM0335C1H1R3BA01D</t>
  </si>
  <si>
    <t>C237529</t>
  </si>
  <si>
    <t>3pF</t>
  </si>
  <si>
    <t>CAP CER 3PF 50V C0G/NP0 0201</t>
  </si>
  <si>
    <t>C19, C20</t>
  </si>
  <si>
    <t>GRM0335C1H3R0BA01D</t>
  </si>
  <si>
    <t>C237430</t>
  </si>
  <si>
    <t>PESD5V0H1BSFYL</t>
  </si>
  <si>
    <t>TVS DIODE 5VWM 6.3VC DSN0603-2</t>
  </si>
  <si>
    <t>D1, D2, D3, D4</t>
  </si>
  <si>
    <t>DSN0603-2</t>
  </si>
  <si>
    <t>C477989</t>
  </si>
  <si>
    <t>Nexperia</t>
  </si>
  <si>
    <t>MPZ1608S221ATA00</t>
  </si>
  <si>
    <t>FERRITE BEAD 220 OHM 0603 1LN</t>
  </si>
  <si>
    <t>FB1, FB2, FB3, FB4</t>
  </si>
  <si>
    <t>IND-0603 (1608 Metric)</t>
  </si>
  <si>
    <t>C76815</t>
  </si>
  <si>
    <t>TDK</t>
  </si>
  <si>
    <t>2 Test Pad</t>
  </si>
  <si>
    <t>Wire Connecting Pad</t>
  </si>
  <si>
    <t>J1, J4, J5</t>
  </si>
  <si>
    <t>10118194-0001LF</t>
  </si>
  <si>
    <t>CONN RCPT USB2.0 MICRO B SMD R/A</t>
  </si>
  <si>
    <t>J2</t>
  </si>
  <si>
    <t>C132563</t>
  </si>
  <si>
    <t>Amphenol FCI</t>
  </si>
  <si>
    <t>5 Test Pad</t>
  </si>
  <si>
    <t>J3</t>
  </si>
  <si>
    <t>2.7nH</t>
  </si>
  <si>
    <t>FIXED IND 2.7NH 500MA 200MOHM SM</t>
  </si>
  <si>
    <t>L1</t>
  </si>
  <si>
    <t>IND-0201</t>
  </si>
  <si>
    <t>LQP03TN2N7B02D</t>
  </si>
  <si>
    <t>C98043</t>
  </si>
  <si>
    <t>10uH</t>
  </si>
  <si>
    <t>FIXED IND 10UH 50MA 1.17 OHM SMD</t>
  </si>
  <si>
    <t>L2, L3</t>
  </si>
  <si>
    <t>LQM18FN100M00D</t>
  </si>
  <si>
    <t>C86083</t>
  </si>
  <si>
    <t>blue 0603 Light Emitting Diodes (LED) ROHS</t>
  </si>
  <si>
    <t>LED1</t>
  </si>
  <si>
    <t>LED-0603</t>
  </si>
  <si>
    <t>NCD0603B3</t>
  </si>
  <si>
    <t>C158101</t>
  </si>
  <si>
    <t>Foshan NationStar Optoelectronics</t>
  </si>
  <si>
    <t>RED LED 0603 Light Emitting Diodes</t>
  </si>
  <si>
    <t>LED2</t>
  </si>
  <si>
    <t>NCD0603R3</t>
  </si>
  <si>
    <t>C3151730</t>
  </si>
  <si>
    <t>1K</t>
  </si>
  <si>
    <t>RES 1K OHM 1% 1/20W 0201</t>
  </si>
  <si>
    <t>R1, R6</t>
  </si>
  <si>
    <t>Res-0201</t>
  </si>
  <si>
    <t>RC0201FR-071KP</t>
  </si>
  <si>
    <t>C3953443</t>
  </si>
  <si>
    <t>100K</t>
  </si>
  <si>
    <t>RES 100K OHM 1% 1/20W 0201</t>
  </si>
  <si>
    <t>R2, R7, R8, R9, R10, R11, R13</t>
  </si>
  <si>
    <t>RC0201FR-07100KL</t>
  </si>
  <si>
    <t>4.7K</t>
  </si>
  <si>
    <t>RES 4.7K OHM 1% 1/20W 0201</t>
  </si>
  <si>
    <t>R3, R4, R5</t>
  </si>
  <si>
    <t>RC0201FR-074K7L</t>
  </si>
  <si>
    <t>C138135</t>
  </si>
  <si>
    <t>1M</t>
  </si>
  <si>
    <t>TRIMMER 1M OHM 0.1W J LEAD TOP</t>
  </si>
  <si>
    <t>R12</t>
  </si>
  <si>
    <t>TC33X-2-105E</t>
  </si>
  <si>
    <t>C5362465</t>
  </si>
  <si>
    <t>Bourns</t>
  </si>
  <si>
    <t>Solder Bridge 0402</t>
  </si>
  <si>
    <t>Solder Bridge ON</t>
  </si>
  <si>
    <t>SB1, SB2, SB3, SB4, SB5, SB6, SB7, SB8, SB9, SB10, SB11, SB12, SB13, SB14</t>
  </si>
  <si>
    <t>B3U-1000P</t>
  </si>
  <si>
    <t>SWITCH TACTILE SPST-NO 0.05A 12V</t>
  </si>
  <si>
    <t>SW1</t>
  </si>
  <si>
    <t>C231329</t>
  </si>
  <si>
    <t>Omron</t>
  </si>
  <si>
    <t>IS2083BM-232</t>
  </si>
  <si>
    <t>RF TXRX MODULE BLUETOOTH SMD</t>
  </si>
  <si>
    <t>U1</t>
  </si>
  <si>
    <t>82-VFBGA</t>
  </si>
  <si>
    <t>Microchip Technology</t>
  </si>
  <si>
    <t>TPA2012D2RTJR</t>
  </si>
  <si>
    <t>IC AMP CLASS D STEREO 2.1W 20QFN</t>
  </si>
  <si>
    <t>U2</t>
  </si>
  <si>
    <t>20-QFN (4x4)</t>
  </si>
  <si>
    <t>C7717</t>
  </si>
  <si>
    <t>Texas Instruments</t>
  </si>
  <si>
    <t>MTCH1030T-E/MG</t>
  </si>
  <si>
    <t>3 CHANNEL TOUCH CONTROLLER, GPIO</t>
  </si>
  <si>
    <t>U3</t>
  </si>
  <si>
    <t>16-QFN (3x3).</t>
  </si>
  <si>
    <t>Microchip</t>
  </si>
  <si>
    <t>16MHz 15pF ±0.5%</t>
  </si>
  <si>
    <t>X1</t>
  </si>
  <si>
    <t>CSTCE16M0V53-R0</t>
  </si>
  <si>
    <t>C32180</t>
  </si>
  <si>
    <t>Item Type</t>
  </si>
  <si>
    <t>Antenna</t>
  </si>
  <si>
    <t>LED</t>
  </si>
  <si>
    <t>Capacitor</t>
  </si>
  <si>
    <t>Diode</t>
  </si>
  <si>
    <t>Test Point</t>
  </si>
  <si>
    <t>Connector</t>
  </si>
  <si>
    <t>Inductor</t>
  </si>
  <si>
    <t>Resistor</t>
  </si>
  <si>
    <t>Solder Bridge</t>
  </si>
  <si>
    <t>Switch</t>
  </si>
  <si>
    <t>MCU</t>
  </si>
  <si>
    <t>IC</t>
  </si>
  <si>
    <t>ID</t>
  </si>
  <si>
    <t>Crystal</t>
  </si>
  <si>
    <t>Value</t>
  </si>
  <si>
    <t>-</t>
  </si>
  <si>
    <t>Custom</t>
  </si>
  <si>
    <t>#</t>
  </si>
  <si>
    <t>LCSC</t>
  </si>
  <si>
    <t>Reference URL</t>
  </si>
  <si>
    <t>Unit cost</t>
  </si>
  <si>
    <t>Total Cost</t>
  </si>
  <si>
    <t>C106224</t>
  </si>
  <si>
    <t>Digikey</t>
  </si>
  <si>
    <t>150-IS2083BM-232CT-ND</t>
  </si>
  <si>
    <t>150-MTCH1030T-E/MGCT-ND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</si>
</sst>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&quot;$&quot;#,##0.00;[Red]&quot;$&quot;#,##0.00"/>
    <numFmt numFmtId="171" formatCode="&quot;$&quot;#,##0.000;[Red]&quot;$&quot;#,##0.0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0" xfId="0" applyFill="1"/>
    <xf numFmtId="0" fontId="1" fillId="3" borderId="2" xfId="0" applyFont="1" applyFill="1" applyBorder="1" applyAlignment="1">
      <alignment horizontal="center" vertical="center"/>
    </xf>
    <xf numFmtId="0" fontId="0" fillId="0" borderId="1" xfId="0" quotePrefix="1" applyBorder="1" applyAlignment="1">
      <alignment wrapText="1"/>
    </xf>
    <xf numFmtId="0" fontId="1" fillId="3" borderId="5" xfId="0" applyFont="1" applyFill="1" applyBorder="1" applyAlignment="1">
      <alignment horizontal="center" vertical="center"/>
    </xf>
    <xf numFmtId="0" fontId="0" fillId="0" borderId="6" xfId="0" applyBorder="1"/>
    <xf numFmtId="0" fontId="1" fillId="3" borderId="1" xfId="0" applyFont="1" applyFill="1" applyBorder="1" applyAlignment="1">
      <alignment horizontal="center" vertical="center"/>
    </xf>
    <xf numFmtId="0" fontId="4" fillId="0" borderId="1" xfId="1" applyBorder="1"/>
    <xf numFmtId="171" fontId="0" fillId="0" borderId="1" xfId="0" applyNumberFormat="1" applyBorder="1"/>
    <xf numFmtId="169" fontId="0" fillId="0" borderId="1" xfId="0" applyNumberFormat="1" applyBorder="1"/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2" fillId="0" borderId="1" xfId="0" applyFont="1" applyBorder="1"/>
    <xf numFmtId="0" fontId="2" fillId="0" borderId="1" xfId="0" quotePrefix="1" applyFont="1" applyBorder="1" applyAlignment="1">
      <alignment wrapText="1"/>
    </xf>
    <xf numFmtId="0" fontId="2" fillId="0" borderId="1" xfId="0" quotePrefix="1" applyFont="1" applyBorder="1"/>
    <xf numFmtId="0" fontId="2" fillId="0" borderId="6" xfId="0" applyFont="1" applyBorder="1"/>
    <xf numFmtId="171" fontId="2" fillId="0" borderId="1" xfId="0" applyNumberFormat="1" applyFont="1" applyBorder="1"/>
    <xf numFmtId="169" fontId="2" fillId="0" borderId="1" xfId="0" applyNumberFormat="1" applyFont="1" applyBorder="1"/>
    <xf numFmtId="0" fontId="5" fillId="3" borderId="4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ESD-Protection-Devices_Nexperia-PESD5V0H1BSF_C477989.html" TargetMode="External"/><Relationship Id="rId13" Type="http://schemas.openxmlformats.org/officeDocument/2006/relationships/hyperlink" Target="https://www.lcsc.com/product-detail/Light-Emitting-Diodes-LED_Foshan-NationStar-Optoelectronics-NCD0603B3_C158101.html" TargetMode="External"/><Relationship Id="rId18" Type="http://schemas.openxmlformats.org/officeDocument/2006/relationships/hyperlink" Target="https://www.lcsc.com/product-detail/Variable-Resistors-Potentiometers_BOURNS-TC33X-2-105E_C5362465.html" TargetMode="External"/><Relationship Id="rId3" Type="http://schemas.openxmlformats.org/officeDocument/2006/relationships/hyperlink" Target="https://www.lcsc.com/product-detail/Multilayer-Ceramic-Capacitors-MLCC-SMD-SMT_Samsung-Electro-Mechanics-CL05A106MP5NUNC_C315248.html" TargetMode="External"/><Relationship Id="rId21" Type="http://schemas.openxmlformats.org/officeDocument/2006/relationships/hyperlink" Target="https://www.lcsc.com/product-detail/Ceramic-Resonators_Murata-Electronics-CSTCE16M0V53-R0_C32180.html" TargetMode="External"/><Relationship Id="rId7" Type="http://schemas.openxmlformats.org/officeDocument/2006/relationships/hyperlink" Target="https://www.lcsc.com/product-detail/Multilayer-Ceramic-Capacitors-MLCC-SMD-SMT_Murata-Electronics-GRM0335C1H3R0BA01D_C237430.html" TargetMode="External"/><Relationship Id="rId12" Type="http://schemas.openxmlformats.org/officeDocument/2006/relationships/hyperlink" Target="https://www.lcsc.com/product-detail/Inductors-SMD_Murata-Electronics-LQM18FN100M00D_C86083.html" TargetMode="External"/><Relationship Id="rId17" Type="http://schemas.openxmlformats.org/officeDocument/2006/relationships/hyperlink" Target="https://www.lcsc.com/product-detail/Chip-Resistor-Surface-Mount_YAGEO-RC0201FR-074K7L_C138135.html" TargetMode="External"/><Relationship Id="rId2" Type="http://schemas.openxmlformats.org/officeDocument/2006/relationships/hyperlink" Target="https://www.lcsc.com/product-detail/Multilayer-Ceramic-Capacitors-MLCC-SMD-SMT_YAGEO-CC0201KRX5R5BB105_C541330.html" TargetMode="External"/><Relationship Id="rId16" Type="http://schemas.openxmlformats.org/officeDocument/2006/relationships/hyperlink" Target="https://www.lcsc.com/product-detail/Chip-Resistor-Surface-Mount_YAGEO-RC0201FR-07100KL_C106224.html" TargetMode="External"/><Relationship Id="rId20" Type="http://schemas.openxmlformats.org/officeDocument/2006/relationships/hyperlink" Target="https://www.lcsc.com/product-detail/Audio-Power-OpAmps_Texas-Instruments-TPA2012D2RTJR_C7717.html" TargetMode="External"/><Relationship Id="rId1" Type="http://schemas.openxmlformats.org/officeDocument/2006/relationships/hyperlink" Target="https://www.lcsc.com/product-detail/Antennas_YAGEO-ANT3216LL00R2400A_C293767.html" TargetMode="External"/><Relationship Id="rId6" Type="http://schemas.openxmlformats.org/officeDocument/2006/relationships/hyperlink" Target="https://www.lcsc.com/product-detail/Multilayer-Ceramic-Capacitors-MLCC-SMD-SMT_Murata-Electronics-GRM0335C1H1R3BA01D_C237529.html" TargetMode="External"/><Relationship Id="rId11" Type="http://schemas.openxmlformats.org/officeDocument/2006/relationships/hyperlink" Target="https://www.lcsc.com/product-detail/Inductors-SMD_Murata-Electronics-LQP03TN2N7B02D_C98043.html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www.lcsc.com/product-detail/Multilayer-Ceramic-Capacitors-MLCC-SMD-SMT_Murata-Electronics-GRM0335C1E2R0BA01D_C161383.html" TargetMode="External"/><Relationship Id="rId15" Type="http://schemas.openxmlformats.org/officeDocument/2006/relationships/hyperlink" Target="https://www.lcsc.com/product-detail/Chip-Resistor-Surface-Mount_YAGEO-RC0201FR-071KP_C3953443.html" TargetMode="External"/><Relationship Id="rId23" Type="http://schemas.openxmlformats.org/officeDocument/2006/relationships/hyperlink" Target="https://www.digikey.com/en/products/detail/microchip-technology/MTCH1030T-E-MG/18443720?s=N4IgTCBcDaILIBUDCAJAjABgMwYQWgFEB6OAcRAF0BfIA" TargetMode="External"/><Relationship Id="rId10" Type="http://schemas.openxmlformats.org/officeDocument/2006/relationships/hyperlink" Target="https://www.lcsc.com/product-detail/USB-Connectors_Amphenol-ICC-10118194-0001LF_C132563.html" TargetMode="External"/><Relationship Id="rId19" Type="http://schemas.openxmlformats.org/officeDocument/2006/relationships/hyperlink" Target="https://www.lcsc.com/product-detail/Tactile-Switches_Omron-Electronics-B3U-1000P_C231329.html" TargetMode="External"/><Relationship Id="rId4" Type="http://schemas.openxmlformats.org/officeDocument/2006/relationships/hyperlink" Target="https://www.lcsc.com/product-detail/Multilayer-Ceramic-Capacitors-MLCC-SMD-SMT_YAGEO-CC0201KRX5R6BB104_C190183.html" TargetMode="External"/><Relationship Id="rId9" Type="http://schemas.openxmlformats.org/officeDocument/2006/relationships/hyperlink" Target="https://www.lcsc.com/product-detail/Ferrite-Beads_TDK-MPZ1608S221ATA00_C76815.html" TargetMode="External"/><Relationship Id="rId14" Type="http://schemas.openxmlformats.org/officeDocument/2006/relationships/hyperlink" Target="https://www.lcsc.com/product-detail/Light-Emitting-Diodes-LED_Foshan-NationStar-Optoelectronics-NCD0603R3_C3151730.html" TargetMode="External"/><Relationship Id="rId22" Type="http://schemas.openxmlformats.org/officeDocument/2006/relationships/hyperlink" Target="https://www.digikey.com/en/products/detail/microchip-technology/IS2083BM-232/132522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5F288-327C-44DA-9CD5-AB03EB96DE5F}">
  <dimension ref="A1:M27"/>
  <sheetViews>
    <sheetView tabSelected="1" topLeftCell="E1" workbookViewId="0">
      <selection activeCell="K11" sqref="K11"/>
    </sheetView>
  </sheetViews>
  <sheetFormatPr defaultRowHeight="14.4" x14ac:dyDescent="0.3"/>
  <cols>
    <col min="2" max="2" width="12.33203125" customWidth="1"/>
    <col min="3" max="3" width="38.77734375" customWidth="1"/>
    <col min="4" max="5" width="19" customWidth="1"/>
    <col min="6" max="6" width="30" bestFit="1" customWidth="1"/>
    <col min="7" max="7" width="23.33203125" bestFit="1" customWidth="1"/>
    <col min="8" max="9" width="19" customWidth="1"/>
    <col min="10" max="10" width="25.77734375" bestFit="1" customWidth="1"/>
    <col min="11" max="11" width="13.33203125" bestFit="1" customWidth="1"/>
    <col min="12" max="12" width="12.109375" customWidth="1"/>
    <col min="13" max="13" width="10.6640625" customWidth="1"/>
  </cols>
  <sheetData>
    <row r="1" spans="1:13" customFormat="1" ht="15" thickBot="1" x14ac:dyDescent="0.35">
      <c r="A1" s="4" t="s">
        <v>158</v>
      </c>
      <c r="B1" s="4" t="s">
        <v>140</v>
      </c>
      <c r="C1" s="4" t="s">
        <v>0</v>
      </c>
      <c r="D1" s="4" t="s">
        <v>1</v>
      </c>
      <c r="E1" s="4" t="s">
        <v>2</v>
      </c>
      <c r="F1" s="4" t="s">
        <v>5</v>
      </c>
      <c r="G1" s="4" t="s">
        <v>6</v>
      </c>
      <c r="H1" s="4" t="s">
        <v>155</v>
      </c>
      <c r="I1" s="6" t="s">
        <v>3</v>
      </c>
      <c r="J1" s="8" t="s">
        <v>4</v>
      </c>
      <c r="K1" s="8" t="s">
        <v>160</v>
      </c>
      <c r="L1" s="8" t="s">
        <v>161</v>
      </c>
      <c r="M1" s="8" t="s">
        <v>162</v>
      </c>
    </row>
    <row r="2" spans="1:13" ht="28.8" x14ac:dyDescent="0.3">
      <c r="A2" s="12">
        <v>1</v>
      </c>
      <c r="B2" s="1" t="s">
        <v>141</v>
      </c>
      <c r="C2" s="5" t="s">
        <v>8</v>
      </c>
      <c r="D2" s="5" t="s">
        <v>9</v>
      </c>
      <c r="E2" s="2" t="s">
        <v>157</v>
      </c>
      <c r="F2" s="2" t="s">
        <v>11</v>
      </c>
      <c r="G2" s="2" t="s">
        <v>7</v>
      </c>
      <c r="H2" s="2" t="s">
        <v>156</v>
      </c>
      <c r="I2" s="7">
        <v>1</v>
      </c>
      <c r="J2" s="2" t="s">
        <v>10</v>
      </c>
      <c r="K2" s="9" t="s">
        <v>159</v>
      </c>
      <c r="L2" s="10">
        <v>0.1193</v>
      </c>
      <c r="M2" s="11">
        <f>L2*I2</f>
        <v>0.1193</v>
      </c>
    </row>
    <row r="3" spans="1:13" ht="72" x14ac:dyDescent="0.3">
      <c r="A3" s="13">
        <v>2</v>
      </c>
      <c r="B3" s="1" t="s">
        <v>143</v>
      </c>
      <c r="C3" s="5" t="s">
        <v>13</v>
      </c>
      <c r="D3" s="5" t="s">
        <v>14</v>
      </c>
      <c r="E3" s="2" t="s">
        <v>15</v>
      </c>
      <c r="F3" s="2" t="s">
        <v>18</v>
      </c>
      <c r="G3" s="2" t="s">
        <v>16</v>
      </c>
      <c r="H3" s="2" t="s">
        <v>12</v>
      </c>
      <c r="I3" s="7">
        <v>22</v>
      </c>
      <c r="J3" s="2" t="s">
        <v>17</v>
      </c>
      <c r="K3" s="9" t="s">
        <v>159</v>
      </c>
      <c r="L3" s="10">
        <v>7.9000000000000008E-3</v>
      </c>
      <c r="M3" s="11">
        <f t="shared" ref="M3:M27" si="0">L3*I3</f>
        <v>0.17380000000000001</v>
      </c>
    </row>
    <row r="4" spans="1:13" ht="28.8" x14ac:dyDescent="0.3">
      <c r="A4" s="12">
        <v>3</v>
      </c>
      <c r="B4" s="1" t="s">
        <v>143</v>
      </c>
      <c r="C4" s="5" t="s">
        <v>20</v>
      </c>
      <c r="D4" s="5" t="s">
        <v>21</v>
      </c>
      <c r="E4" s="2" t="s">
        <v>22</v>
      </c>
      <c r="F4" s="2" t="s">
        <v>25</v>
      </c>
      <c r="G4" s="2" t="s">
        <v>23</v>
      </c>
      <c r="H4" s="2" t="s">
        <v>19</v>
      </c>
      <c r="I4" s="7">
        <v>6</v>
      </c>
      <c r="J4" s="2" t="s">
        <v>24</v>
      </c>
      <c r="K4" s="9" t="s">
        <v>159</v>
      </c>
      <c r="L4" s="10">
        <v>9.1999999999999998E-3</v>
      </c>
      <c r="M4" s="11">
        <f t="shared" si="0"/>
        <v>5.5199999999999999E-2</v>
      </c>
    </row>
    <row r="5" spans="1:13" x14ac:dyDescent="0.3">
      <c r="A5" s="13">
        <v>4</v>
      </c>
      <c r="B5" s="1" t="s">
        <v>143</v>
      </c>
      <c r="C5" s="5" t="s">
        <v>27</v>
      </c>
      <c r="D5" s="5" t="s">
        <v>28</v>
      </c>
      <c r="E5" s="2" t="s">
        <v>29</v>
      </c>
      <c r="F5" s="2" t="s">
        <v>18</v>
      </c>
      <c r="G5" s="2" t="s">
        <v>30</v>
      </c>
      <c r="H5" s="2" t="s">
        <v>26</v>
      </c>
      <c r="I5" s="7">
        <v>4</v>
      </c>
      <c r="J5" s="2" t="s">
        <v>31</v>
      </c>
      <c r="K5" s="9" t="s">
        <v>159</v>
      </c>
      <c r="L5" s="10">
        <v>1.1000000000000001E-3</v>
      </c>
      <c r="M5" s="11">
        <f t="shared" si="0"/>
        <v>4.4000000000000003E-3</v>
      </c>
    </row>
    <row r="6" spans="1:13" x14ac:dyDescent="0.3">
      <c r="A6" s="12">
        <v>5</v>
      </c>
      <c r="B6" s="1" t="s">
        <v>143</v>
      </c>
      <c r="C6" s="5" t="s">
        <v>33</v>
      </c>
      <c r="D6" s="5" t="s">
        <v>34</v>
      </c>
      <c r="E6" s="2" t="s">
        <v>29</v>
      </c>
      <c r="F6" s="2" t="s">
        <v>37</v>
      </c>
      <c r="G6" s="2" t="s">
        <v>35</v>
      </c>
      <c r="H6" s="2" t="s">
        <v>32</v>
      </c>
      <c r="I6" s="7">
        <v>1</v>
      </c>
      <c r="J6" s="2" t="s">
        <v>36</v>
      </c>
      <c r="K6" s="9" t="s">
        <v>159</v>
      </c>
      <c r="L6" s="10">
        <v>4.3E-3</v>
      </c>
      <c r="M6" s="11">
        <f t="shared" si="0"/>
        <v>4.3E-3</v>
      </c>
    </row>
    <row r="7" spans="1:13" x14ac:dyDescent="0.3">
      <c r="A7" s="13">
        <v>6</v>
      </c>
      <c r="B7" s="1" t="s">
        <v>143</v>
      </c>
      <c r="C7" s="5" t="s">
        <v>39</v>
      </c>
      <c r="D7" s="5" t="s">
        <v>40</v>
      </c>
      <c r="E7" s="2" t="s">
        <v>29</v>
      </c>
      <c r="F7" s="2" t="s">
        <v>37</v>
      </c>
      <c r="G7" s="2" t="s">
        <v>41</v>
      </c>
      <c r="H7" s="2" t="s">
        <v>38</v>
      </c>
      <c r="I7" s="7">
        <v>1</v>
      </c>
      <c r="J7" s="2" t="s">
        <v>42</v>
      </c>
      <c r="K7" s="9" t="s">
        <v>159</v>
      </c>
      <c r="L7" s="10">
        <v>4.4999999999999997E-3</v>
      </c>
      <c r="M7" s="11">
        <f t="shared" si="0"/>
        <v>4.4999999999999997E-3</v>
      </c>
    </row>
    <row r="8" spans="1:13" x14ac:dyDescent="0.3">
      <c r="A8" s="12">
        <v>7</v>
      </c>
      <c r="B8" s="1" t="s">
        <v>143</v>
      </c>
      <c r="C8" s="5" t="s">
        <v>44</v>
      </c>
      <c r="D8" s="5" t="s">
        <v>45</v>
      </c>
      <c r="E8" s="2" t="s">
        <v>29</v>
      </c>
      <c r="F8" s="2" t="s">
        <v>37</v>
      </c>
      <c r="G8" s="2" t="s">
        <v>46</v>
      </c>
      <c r="H8" s="2" t="s">
        <v>43</v>
      </c>
      <c r="I8" s="7">
        <v>2</v>
      </c>
      <c r="J8" s="2" t="s">
        <v>47</v>
      </c>
      <c r="K8" s="9" t="s">
        <v>159</v>
      </c>
      <c r="L8" s="10">
        <v>4.3E-3</v>
      </c>
      <c r="M8" s="11">
        <f t="shared" si="0"/>
        <v>8.6E-3</v>
      </c>
    </row>
    <row r="9" spans="1:13" x14ac:dyDescent="0.3">
      <c r="A9" s="13">
        <v>8</v>
      </c>
      <c r="B9" s="1" t="s">
        <v>144</v>
      </c>
      <c r="C9" s="5" t="s">
        <v>49</v>
      </c>
      <c r="D9" s="5" t="s">
        <v>50</v>
      </c>
      <c r="E9" s="2" t="s">
        <v>51</v>
      </c>
      <c r="F9" s="2" t="s">
        <v>53</v>
      </c>
      <c r="G9" s="2" t="s">
        <v>48</v>
      </c>
      <c r="H9" s="2" t="s">
        <v>156</v>
      </c>
      <c r="I9" s="7">
        <v>4</v>
      </c>
      <c r="J9" s="2" t="s">
        <v>52</v>
      </c>
      <c r="K9" s="9" t="s">
        <v>159</v>
      </c>
      <c r="L9" s="10">
        <v>3.4200000000000001E-2</v>
      </c>
      <c r="M9" s="11">
        <f t="shared" si="0"/>
        <v>0.1368</v>
      </c>
    </row>
    <row r="10" spans="1:13" x14ac:dyDescent="0.3">
      <c r="A10" s="12">
        <v>9</v>
      </c>
      <c r="B10" s="1" t="s">
        <v>144</v>
      </c>
      <c r="C10" s="5" t="s">
        <v>55</v>
      </c>
      <c r="D10" s="5" t="s">
        <v>56</v>
      </c>
      <c r="E10" s="2" t="s">
        <v>57</v>
      </c>
      <c r="F10" s="2" t="s">
        <v>59</v>
      </c>
      <c r="G10" s="2" t="s">
        <v>54</v>
      </c>
      <c r="H10" s="2" t="s">
        <v>156</v>
      </c>
      <c r="I10" s="7">
        <v>4</v>
      </c>
      <c r="J10" s="2" t="s">
        <v>58</v>
      </c>
      <c r="K10" s="9" t="s">
        <v>159</v>
      </c>
      <c r="L10" s="10">
        <v>1.8700000000000001E-2</v>
      </c>
      <c r="M10" s="11">
        <f t="shared" si="0"/>
        <v>7.4800000000000005E-2</v>
      </c>
    </row>
    <row r="11" spans="1:13" x14ac:dyDescent="0.3">
      <c r="A11" s="21">
        <v>10</v>
      </c>
      <c r="B11" s="15" t="s">
        <v>145</v>
      </c>
      <c r="C11" s="16" t="s">
        <v>61</v>
      </c>
      <c r="D11" s="16" t="s">
        <v>62</v>
      </c>
      <c r="E11" s="17" t="s">
        <v>157</v>
      </c>
      <c r="F11" s="15" t="s">
        <v>156</v>
      </c>
      <c r="G11" s="17" t="s">
        <v>60</v>
      </c>
      <c r="H11" s="17" t="s">
        <v>156</v>
      </c>
      <c r="I11" s="18">
        <v>3</v>
      </c>
      <c r="J11" s="15" t="s">
        <v>156</v>
      </c>
      <c r="K11" s="15"/>
      <c r="L11" s="19"/>
      <c r="M11" s="20">
        <f t="shared" si="0"/>
        <v>0</v>
      </c>
    </row>
    <row r="12" spans="1:13" x14ac:dyDescent="0.3">
      <c r="A12" s="12">
        <v>11</v>
      </c>
      <c r="B12" s="1" t="s">
        <v>146</v>
      </c>
      <c r="C12" s="5" t="s">
        <v>64</v>
      </c>
      <c r="D12" s="5" t="s">
        <v>65</v>
      </c>
      <c r="E12" s="2" t="s">
        <v>157</v>
      </c>
      <c r="F12" s="2" t="s">
        <v>67</v>
      </c>
      <c r="G12" s="2" t="s">
        <v>63</v>
      </c>
      <c r="H12" s="2" t="s">
        <v>156</v>
      </c>
      <c r="I12" s="7">
        <v>1</v>
      </c>
      <c r="J12" s="2" t="s">
        <v>66</v>
      </c>
      <c r="K12" s="9" t="s">
        <v>159</v>
      </c>
      <c r="L12" s="10">
        <v>0.20200000000000001</v>
      </c>
      <c r="M12" s="11">
        <f t="shared" si="0"/>
        <v>0.20200000000000001</v>
      </c>
    </row>
    <row r="13" spans="1:13" x14ac:dyDescent="0.3">
      <c r="A13" s="21">
        <v>12</v>
      </c>
      <c r="B13" s="15" t="s">
        <v>145</v>
      </c>
      <c r="C13" s="16" t="s">
        <v>61</v>
      </c>
      <c r="D13" s="16" t="s">
        <v>69</v>
      </c>
      <c r="E13" s="17" t="s">
        <v>157</v>
      </c>
      <c r="F13" s="15" t="s">
        <v>156</v>
      </c>
      <c r="G13" s="17" t="s">
        <v>68</v>
      </c>
      <c r="H13" s="17" t="s">
        <v>156</v>
      </c>
      <c r="I13" s="18">
        <v>1</v>
      </c>
      <c r="J13" s="15" t="s">
        <v>156</v>
      </c>
      <c r="K13" s="15"/>
      <c r="L13" s="19"/>
      <c r="M13" s="20">
        <f t="shared" si="0"/>
        <v>0</v>
      </c>
    </row>
    <row r="14" spans="1:13" x14ac:dyDescent="0.3">
      <c r="A14" s="12">
        <v>13</v>
      </c>
      <c r="B14" s="1" t="s">
        <v>147</v>
      </c>
      <c r="C14" s="5" t="s">
        <v>71</v>
      </c>
      <c r="D14" s="5" t="s">
        <v>72</v>
      </c>
      <c r="E14" s="2" t="s">
        <v>73</v>
      </c>
      <c r="F14" s="2" t="s">
        <v>37</v>
      </c>
      <c r="G14" s="2" t="s">
        <v>74</v>
      </c>
      <c r="H14" s="2" t="s">
        <v>70</v>
      </c>
      <c r="I14" s="7">
        <v>1</v>
      </c>
      <c r="J14" s="2" t="s">
        <v>75</v>
      </c>
      <c r="K14" s="9" t="s">
        <v>159</v>
      </c>
      <c r="L14" s="10">
        <v>4.3E-3</v>
      </c>
      <c r="M14" s="11">
        <f t="shared" si="0"/>
        <v>4.3E-3</v>
      </c>
    </row>
    <row r="15" spans="1:13" x14ac:dyDescent="0.3">
      <c r="A15" s="13">
        <v>14</v>
      </c>
      <c r="B15" s="1" t="s">
        <v>147</v>
      </c>
      <c r="C15" s="5" t="s">
        <v>77</v>
      </c>
      <c r="D15" s="5" t="s">
        <v>78</v>
      </c>
      <c r="E15" s="2" t="s">
        <v>57</v>
      </c>
      <c r="F15" s="2" t="s">
        <v>37</v>
      </c>
      <c r="G15" s="2" t="s">
        <v>79</v>
      </c>
      <c r="H15" s="2" t="s">
        <v>76</v>
      </c>
      <c r="I15" s="7">
        <v>2</v>
      </c>
      <c r="J15" s="2" t="s">
        <v>80</v>
      </c>
      <c r="K15" s="9" t="s">
        <v>159</v>
      </c>
      <c r="L15" s="10">
        <v>4.6600000000000003E-2</v>
      </c>
      <c r="M15" s="11">
        <f t="shared" si="0"/>
        <v>9.3200000000000005E-2</v>
      </c>
    </row>
    <row r="16" spans="1:13" x14ac:dyDescent="0.3">
      <c r="A16" s="12">
        <v>15</v>
      </c>
      <c r="B16" s="1" t="s">
        <v>142</v>
      </c>
      <c r="C16" s="5" t="s">
        <v>81</v>
      </c>
      <c r="D16" s="5" t="s">
        <v>82</v>
      </c>
      <c r="E16" s="2" t="s">
        <v>83</v>
      </c>
      <c r="F16" s="2" t="s">
        <v>86</v>
      </c>
      <c r="G16" s="2" t="s">
        <v>84</v>
      </c>
      <c r="H16" s="2" t="s">
        <v>156</v>
      </c>
      <c r="I16" s="7">
        <v>1</v>
      </c>
      <c r="J16" s="2" t="s">
        <v>85</v>
      </c>
      <c r="K16" s="9" t="s">
        <v>159</v>
      </c>
      <c r="L16" s="10">
        <v>3.1300000000000001E-2</v>
      </c>
      <c r="M16" s="11">
        <f t="shared" si="0"/>
        <v>3.1300000000000001E-2</v>
      </c>
    </row>
    <row r="17" spans="1:13" x14ac:dyDescent="0.3">
      <c r="A17" s="13">
        <v>16</v>
      </c>
      <c r="B17" s="1" t="s">
        <v>142</v>
      </c>
      <c r="C17" s="5" t="s">
        <v>87</v>
      </c>
      <c r="D17" s="5" t="s">
        <v>88</v>
      </c>
      <c r="E17" s="2" t="s">
        <v>83</v>
      </c>
      <c r="F17" s="2" t="s">
        <v>86</v>
      </c>
      <c r="G17" s="2" t="s">
        <v>89</v>
      </c>
      <c r="H17" s="2" t="s">
        <v>156</v>
      </c>
      <c r="I17" s="7">
        <v>1</v>
      </c>
      <c r="J17" s="2" t="s">
        <v>90</v>
      </c>
      <c r="K17" s="9" t="s">
        <v>159</v>
      </c>
      <c r="L17" s="10">
        <v>2.0799999999999999E-2</v>
      </c>
      <c r="M17" s="11">
        <f t="shared" si="0"/>
        <v>2.0799999999999999E-2</v>
      </c>
    </row>
    <row r="18" spans="1:13" x14ac:dyDescent="0.3">
      <c r="A18" s="12">
        <v>17</v>
      </c>
      <c r="B18" s="1" t="s">
        <v>148</v>
      </c>
      <c r="C18" s="5" t="s">
        <v>92</v>
      </c>
      <c r="D18" s="5" t="s">
        <v>93</v>
      </c>
      <c r="E18" s="2" t="s">
        <v>94</v>
      </c>
      <c r="F18" s="2" t="s">
        <v>18</v>
      </c>
      <c r="G18" s="2" t="s">
        <v>95</v>
      </c>
      <c r="H18" s="2" t="s">
        <v>91</v>
      </c>
      <c r="I18" s="7">
        <v>2</v>
      </c>
      <c r="J18" s="2" t="s">
        <v>96</v>
      </c>
      <c r="K18" s="9" t="s">
        <v>159</v>
      </c>
      <c r="L18" s="10">
        <v>1.5800000000000002E-2</v>
      </c>
      <c r="M18" s="11">
        <f t="shared" si="0"/>
        <v>3.1600000000000003E-2</v>
      </c>
    </row>
    <row r="19" spans="1:13" ht="28.8" x14ac:dyDescent="0.3">
      <c r="A19" s="13">
        <v>18</v>
      </c>
      <c r="B19" s="1" t="s">
        <v>148</v>
      </c>
      <c r="C19" s="5" t="s">
        <v>98</v>
      </c>
      <c r="D19" s="5" t="s">
        <v>99</v>
      </c>
      <c r="E19" s="2" t="s">
        <v>94</v>
      </c>
      <c r="F19" s="2" t="s">
        <v>18</v>
      </c>
      <c r="G19" s="2" t="s">
        <v>100</v>
      </c>
      <c r="H19" s="2" t="s">
        <v>97</v>
      </c>
      <c r="I19" s="7">
        <v>7</v>
      </c>
      <c r="J19" s="1" t="s">
        <v>163</v>
      </c>
      <c r="K19" s="9" t="s">
        <v>159</v>
      </c>
      <c r="L19" s="10">
        <v>8.9999999999999998E-4</v>
      </c>
      <c r="M19" s="11">
        <f t="shared" si="0"/>
        <v>6.3E-3</v>
      </c>
    </row>
    <row r="20" spans="1:13" x14ac:dyDescent="0.3">
      <c r="A20" s="12">
        <v>19</v>
      </c>
      <c r="B20" s="1" t="s">
        <v>148</v>
      </c>
      <c r="C20" s="5" t="s">
        <v>102</v>
      </c>
      <c r="D20" s="5" t="s">
        <v>103</v>
      </c>
      <c r="E20" s="2" t="s">
        <v>94</v>
      </c>
      <c r="F20" s="2" t="s">
        <v>18</v>
      </c>
      <c r="G20" s="2" t="s">
        <v>104</v>
      </c>
      <c r="H20" s="2" t="s">
        <v>101</v>
      </c>
      <c r="I20" s="7">
        <v>3</v>
      </c>
      <c r="J20" s="2" t="s">
        <v>105</v>
      </c>
      <c r="K20" s="9" t="s">
        <v>159</v>
      </c>
      <c r="L20" s="10">
        <v>8.9999999999999998E-4</v>
      </c>
      <c r="M20" s="11">
        <f t="shared" si="0"/>
        <v>2.7000000000000001E-3</v>
      </c>
    </row>
    <row r="21" spans="1:13" x14ac:dyDescent="0.3">
      <c r="A21" s="13">
        <v>20</v>
      </c>
      <c r="B21" s="1" t="s">
        <v>148</v>
      </c>
      <c r="C21" s="5" t="s">
        <v>107</v>
      </c>
      <c r="D21" s="5" t="s">
        <v>108</v>
      </c>
      <c r="E21" s="2" t="s">
        <v>157</v>
      </c>
      <c r="F21" s="2" t="s">
        <v>111</v>
      </c>
      <c r="G21" s="2" t="s">
        <v>109</v>
      </c>
      <c r="H21" s="2" t="s">
        <v>106</v>
      </c>
      <c r="I21" s="7">
        <v>1</v>
      </c>
      <c r="J21" s="2" t="s">
        <v>110</v>
      </c>
      <c r="K21" s="9" t="s">
        <v>159</v>
      </c>
      <c r="L21" s="10">
        <v>0.18759999999999999</v>
      </c>
      <c r="M21" s="11">
        <f t="shared" si="0"/>
        <v>0.18759999999999999</v>
      </c>
    </row>
    <row r="22" spans="1:13" ht="57.6" x14ac:dyDescent="0.3">
      <c r="A22" s="14">
        <v>21</v>
      </c>
      <c r="B22" s="15" t="s">
        <v>149</v>
      </c>
      <c r="C22" s="16" t="s">
        <v>113</v>
      </c>
      <c r="D22" s="16" t="s">
        <v>114</v>
      </c>
      <c r="E22" s="17" t="s">
        <v>157</v>
      </c>
      <c r="F22" s="15" t="s">
        <v>156</v>
      </c>
      <c r="G22" s="17" t="s">
        <v>112</v>
      </c>
      <c r="H22" s="17" t="s">
        <v>156</v>
      </c>
      <c r="I22" s="18">
        <v>14</v>
      </c>
      <c r="J22" s="15" t="s">
        <v>156</v>
      </c>
      <c r="K22" s="15"/>
      <c r="L22" s="19"/>
      <c r="M22" s="20">
        <f t="shared" si="0"/>
        <v>0</v>
      </c>
    </row>
    <row r="23" spans="1:13" x14ac:dyDescent="0.3">
      <c r="A23" s="13">
        <v>22</v>
      </c>
      <c r="B23" s="1" t="s">
        <v>150</v>
      </c>
      <c r="C23" s="5" t="s">
        <v>116</v>
      </c>
      <c r="D23" s="5" t="s">
        <v>117</v>
      </c>
      <c r="E23" s="2" t="s">
        <v>157</v>
      </c>
      <c r="F23" s="2" t="s">
        <v>119</v>
      </c>
      <c r="G23" s="2" t="s">
        <v>115</v>
      </c>
      <c r="H23" s="2" t="s">
        <v>156</v>
      </c>
      <c r="I23" s="7">
        <v>1</v>
      </c>
      <c r="J23" s="2" t="s">
        <v>118</v>
      </c>
      <c r="K23" s="9" t="s">
        <v>159</v>
      </c>
      <c r="L23" s="10">
        <v>0.1729</v>
      </c>
      <c r="M23" s="11">
        <f t="shared" si="0"/>
        <v>0.1729</v>
      </c>
    </row>
    <row r="24" spans="1:13" x14ac:dyDescent="0.3">
      <c r="A24" s="12">
        <v>23</v>
      </c>
      <c r="B24" s="1" t="s">
        <v>151</v>
      </c>
      <c r="C24" s="5" t="s">
        <v>121</v>
      </c>
      <c r="D24" s="5" t="s">
        <v>122</v>
      </c>
      <c r="E24" s="2" t="s">
        <v>123</v>
      </c>
      <c r="F24" s="2" t="s">
        <v>124</v>
      </c>
      <c r="G24" s="2" t="s">
        <v>120</v>
      </c>
      <c r="H24" s="2" t="s">
        <v>156</v>
      </c>
      <c r="I24" s="7">
        <v>1</v>
      </c>
      <c r="J24" s="1" t="s">
        <v>165</v>
      </c>
      <c r="K24" s="9" t="s">
        <v>164</v>
      </c>
      <c r="L24" s="10">
        <v>7.41</v>
      </c>
      <c r="M24" s="11">
        <f t="shared" si="0"/>
        <v>7.41</v>
      </c>
    </row>
    <row r="25" spans="1:13" x14ac:dyDescent="0.3">
      <c r="A25" s="13">
        <v>24</v>
      </c>
      <c r="B25" s="1" t="s">
        <v>152</v>
      </c>
      <c r="C25" s="5" t="s">
        <v>126</v>
      </c>
      <c r="D25" s="5" t="s">
        <v>127</v>
      </c>
      <c r="E25" s="2" t="s">
        <v>128</v>
      </c>
      <c r="F25" s="2" t="s">
        <v>130</v>
      </c>
      <c r="G25" s="2" t="s">
        <v>125</v>
      </c>
      <c r="H25" s="2" t="s">
        <v>156</v>
      </c>
      <c r="I25" s="7">
        <v>1</v>
      </c>
      <c r="J25" s="2" t="s">
        <v>129</v>
      </c>
      <c r="K25" s="9" t="s">
        <v>159</v>
      </c>
      <c r="L25" s="10">
        <v>0.95620000000000005</v>
      </c>
      <c r="M25" s="11">
        <f t="shared" si="0"/>
        <v>0.95620000000000005</v>
      </c>
    </row>
    <row r="26" spans="1:13" x14ac:dyDescent="0.3">
      <c r="A26" s="12">
        <v>25</v>
      </c>
      <c r="B26" s="1" t="s">
        <v>153</v>
      </c>
      <c r="C26" s="5" t="s">
        <v>132</v>
      </c>
      <c r="D26" s="5" t="s">
        <v>133</v>
      </c>
      <c r="E26" s="2" t="s">
        <v>134</v>
      </c>
      <c r="F26" s="2" t="s">
        <v>135</v>
      </c>
      <c r="G26" s="2" t="s">
        <v>131</v>
      </c>
      <c r="H26" s="2" t="s">
        <v>156</v>
      </c>
      <c r="I26" s="7">
        <v>1</v>
      </c>
      <c r="J26" s="1" t="s">
        <v>166</v>
      </c>
      <c r="K26" s="9" t="s">
        <v>164</v>
      </c>
      <c r="L26" s="10">
        <v>1</v>
      </c>
      <c r="M26" s="11">
        <f t="shared" si="0"/>
        <v>1</v>
      </c>
    </row>
    <row r="27" spans="1:13" x14ac:dyDescent="0.3">
      <c r="A27" s="13">
        <v>26</v>
      </c>
      <c r="B27" s="1" t="s">
        <v>154</v>
      </c>
      <c r="C27" s="5" t="s">
        <v>136</v>
      </c>
      <c r="D27" s="5" t="s">
        <v>137</v>
      </c>
      <c r="E27" s="2" t="s">
        <v>157</v>
      </c>
      <c r="F27" s="2" t="s">
        <v>37</v>
      </c>
      <c r="G27" s="2" t="s">
        <v>138</v>
      </c>
      <c r="H27" s="2" t="s">
        <v>156</v>
      </c>
      <c r="I27" s="7">
        <v>1</v>
      </c>
      <c r="J27" s="2" t="s">
        <v>139</v>
      </c>
      <c r="K27" s="9" t="s">
        <v>159</v>
      </c>
      <c r="L27" s="10">
        <v>0.25490000000000002</v>
      </c>
      <c r="M27" s="11">
        <f t="shared" si="0"/>
        <v>0.25490000000000002</v>
      </c>
    </row>
  </sheetData>
  <hyperlinks>
    <hyperlink ref="K2" r:id="rId1" xr:uid="{52F811F4-346C-44DC-B5CD-CB747DFDE72E}"/>
    <hyperlink ref="K3" r:id="rId2" xr:uid="{A282E2AA-1CB2-4908-802D-18A5EC3A2422}"/>
    <hyperlink ref="K4" r:id="rId3" xr:uid="{AECECB11-ED63-4A37-B08E-07294BA813DD}"/>
    <hyperlink ref="K5" r:id="rId4" xr:uid="{0B9FC10B-5543-44E3-BA2F-D43350DC198D}"/>
    <hyperlink ref="K6" r:id="rId5" xr:uid="{4BCFB2EF-474B-43A0-AFB8-E6F30EE811D6}"/>
    <hyperlink ref="K7" r:id="rId6" xr:uid="{3F2C1921-135C-472C-9D1B-B95B129A99EA}"/>
    <hyperlink ref="K8" r:id="rId7" xr:uid="{F7448334-A72D-458C-BDB5-97AD8402234F}"/>
    <hyperlink ref="K9" r:id="rId8" xr:uid="{B073BF91-1EBD-4528-BDDF-3A824CC04C1E}"/>
    <hyperlink ref="K10" r:id="rId9" xr:uid="{6364FDEF-5C2E-4DB8-AC52-8445E7C9E0B0}"/>
    <hyperlink ref="K12" r:id="rId10" xr:uid="{701C6539-BDA9-44B5-B42D-6818206DD878}"/>
    <hyperlink ref="K14" r:id="rId11" xr:uid="{084D7A17-F16D-439F-A1B7-CB4801BB1B6E}"/>
    <hyperlink ref="K15" r:id="rId12" xr:uid="{DFA902A8-85BC-4AED-A920-99AA137EB96E}"/>
    <hyperlink ref="K16" r:id="rId13" xr:uid="{FBE97A8C-BC9A-4270-96AA-B0299830474F}"/>
    <hyperlink ref="K17" r:id="rId14" xr:uid="{8551C3BA-11EE-465C-AA1C-C518340C686C}"/>
    <hyperlink ref="K18" r:id="rId15" xr:uid="{65053B7D-51DF-4DDC-B7E6-0FCBC6A62FAD}"/>
    <hyperlink ref="K19" r:id="rId16" xr:uid="{C125DF78-881A-4745-909B-FC9B35F2BEBD}"/>
    <hyperlink ref="K20" r:id="rId17" xr:uid="{E1A71A96-A718-47EA-9500-3015C0B93E29}"/>
    <hyperlink ref="K21" r:id="rId18" xr:uid="{6F34BCB4-FC0F-49C6-90BF-561553839D6F}"/>
    <hyperlink ref="K23" r:id="rId19" xr:uid="{70391A56-6A72-43EE-B095-554097E161FD}"/>
    <hyperlink ref="K25" r:id="rId20" xr:uid="{50C9DAE3-5ADE-42C7-8F0E-25D7BE4FC471}"/>
    <hyperlink ref="K27" r:id="rId21" xr:uid="{2F7B98B9-D1AE-4737-A77A-57AC98B4FC18}"/>
    <hyperlink ref="K24" r:id="rId22" xr:uid="{F5CD1FE8-0C17-48B8-B5C6-82B0F20CE915}"/>
    <hyperlink ref="K26" r:id="rId23" xr:uid="{90428FBC-BCFA-4200-8730-51E0C32B7470}"/>
  </hyperlinks>
  <pageMargins left="0.7" right="0.7" top="0.75" bottom="0.75" header="0.3" footer="0.3"/>
  <pageSetup orientation="portrait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Bone_Conduction_Glasses</vt:lpstr>
      <vt:lpstr>Bone_Conduction_Glasses!Print_Titles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 Ur Rahman</dc:creator>
  <cp:lastModifiedBy>Faizan Ur Rahman</cp:lastModifiedBy>
  <dcterms:created xsi:type="dcterms:W3CDTF">2023-11-18T14:43:37Z</dcterms:created>
  <dcterms:modified xsi:type="dcterms:W3CDTF">2023-11-18T15:03:35Z</dcterms:modified>
</cp:coreProperties>
</file>