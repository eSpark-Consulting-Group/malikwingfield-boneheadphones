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likwingfield-boneheadphones\Design files\Left-Side\BOM\"/>
    </mc:Choice>
  </mc:AlternateContent>
  <bookViews>
    <workbookView xWindow="28680" yWindow="-120" windowWidth="29040" windowHeight="15840"/>
  </bookViews>
  <sheets>
    <sheet name="5 Boards" sheetId="1" r:id="rId1"/>
  </sheets>
  <calcPr calcId="162913"/>
</workbook>
</file>

<file path=xl/calcChain.xml><?xml version="1.0" encoding="utf-8"?>
<calcChain xmlns="http://schemas.openxmlformats.org/spreadsheetml/2006/main">
  <c r="Q35" i="1" l="1"/>
  <c r="M35" i="1"/>
  <c r="Q34" i="1"/>
  <c r="M34" i="1"/>
  <c r="B34" i="1" l="1"/>
  <c r="B35" i="1"/>
  <c r="Q33" i="1" l="1"/>
  <c r="M33" i="1"/>
  <c r="B33" i="1"/>
  <c r="Q32" i="1"/>
  <c r="M32" i="1"/>
  <c r="B32" i="1"/>
  <c r="Q31" i="1"/>
  <c r="M31" i="1"/>
  <c r="B31" i="1"/>
  <c r="Q30" i="1"/>
  <c r="M30" i="1"/>
  <c r="B30" i="1"/>
  <c r="Q29" i="1"/>
  <c r="M29" i="1"/>
  <c r="B29" i="1"/>
  <c r="Q28" i="1"/>
  <c r="M28" i="1"/>
  <c r="B28" i="1"/>
  <c r="Q27" i="1"/>
  <c r="M27" i="1"/>
  <c r="B27" i="1"/>
  <c r="Q26" i="1"/>
  <c r="M26" i="1"/>
  <c r="B26" i="1"/>
  <c r="Q25" i="1"/>
  <c r="M25" i="1"/>
  <c r="B25" i="1"/>
  <c r="Q24" i="1"/>
  <c r="M24" i="1"/>
  <c r="B24" i="1"/>
  <c r="Q23" i="1"/>
  <c r="M23" i="1"/>
  <c r="B23" i="1"/>
  <c r="Q22" i="1"/>
  <c r="M22" i="1"/>
  <c r="B22" i="1"/>
  <c r="Q21" i="1"/>
  <c r="M21" i="1"/>
  <c r="B21" i="1"/>
  <c r="Q20" i="1"/>
  <c r="M20" i="1"/>
  <c r="B20" i="1"/>
  <c r="Q19" i="1"/>
  <c r="M19" i="1"/>
  <c r="B19" i="1"/>
  <c r="Q18" i="1"/>
  <c r="M18" i="1"/>
  <c r="B18" i="1"/>
  <c r="Q17" i="1"/>
  <c r="M17" i="1"/>
  <c r="B17" i="1"/>
  <c r="Q16" i="1"/>
  <c r="M16" i="1"/>
  <c r="B16" i="1"/>
  <c r="Q15" i="1"/>
  <c r="M15" i="1"/>
  <c r="B15" i="1"/>
  <c r="Q14" i="1"/>
  <c r="M14" i="1"/>
  <c r="B14" i="1"/>
  <c r="Q13" i="1"/>
  <c r="M13" i="1"/>
  <c r="B13" i="1"/>
  <c r="Q12" i="1"/>
  <c r="M12" i="1"/>
  <c r="B12" i="1"/>
  <c r="Q11" i="1" l="1"/>
  <c r="Q10" i="1"/>
  <c r="M11" i="1"/>
  <c r="M10" i="1"/>
  <c r="B11" i="1"/>
  <c r="B10" i="1"/>
  <c r="Q36" i="1" l="1"/>
  <c r="Q37" i="1" s="1"/>
</calcChain>
</file>

<file path=xl/sharedStrings.xml><?xml version="1.0" encoding="utf-8"?>
<sst xmlns="http://schemas.openxmlformats.org/spreadsheetml/2006/main" count="287" uniqueCount="184">
  <si>
    <t>Component list</t>
  </si>
  <si>
    <t>Source Data From:</t>
  </si>
  <si>
    <t>Project:</t>
  </si>
  <si>
    <t>Variant:</t>
  </si>
  <si>
    <t>#</t>
  </si>
  <si>
    <t xml:space="preserve">Total Component Cost </t>
  </si>
  <si>
    <t>Single Board Cost</t>
  </si>
  <si>
    <t>None</t>
  </si>
  <si>
    <t>Item Type</t>
  </si>
  <si>
    <t>Antenna</t>
  </si>
  <si>
    <t>Capacitor</t>
  </si>
  <si>
    <t>Diode</t>
  </si>
  <si>
    <t>Ferrite Bead</t>
  </si>
  <si>
    <t>USB B Connector</t>
  </si>
  <si>
    <t>Inductor</t>
  </si>
  <si>
    <t>LED</t>
  </si>
  <si>
    <t>Resistor</t>
  </si>
  <si>
    <t>Variable Resistor</t>
  </si>
  <si>
    <t>Switch</t>
  </si>
  <si>
    <t>IC</t>
  </si>
  <si>
    <t>Cystal</t>
  </si>
  <si>
    <t>Designator</t>
  </si>
  <si>
    <t>ANT1</t>
  </si>
  <si>
    <t>C1, C4, C5, C6, C7, C8, C9, C11, C12, C13, C14, C16, C17, C23, C28, C29, C30, C31</t>
  </si>
  <si>
    <t>C2, C10, C21, C22, C24, C26</t>
  </si>
  <si>
    <t>C3, C25, C27, C32</t>
  </si>
  <si>
    <t>C15</t>
  </si>
  <si>
    <t>C18</t>
  </si>
  <si>
    <t>C19, C20</t>
  </si>
  <si>
    <t>D1, D2, D3, D4</t>
  </si>
  <si>
    <t>FB1, FB2</t>
  </si>
  <si>
    <t>J2</t>
  </si>
  <si>
    <t>L1</t>
  </si>
  <si>
    <t>L2, L3</t>
  </si>
  <si>
    <t>LED1</t>
  </si>
  <si>
    <t>LED2</t>
  </si>
  <si>
    <t>R1, R6</t>
  </si>
  <si>
    <t>R2, R14</t>
  </si>
  <si>
    <t>R3, R4, R5</t>
  </si>
  <si>
    <t>R7, R8, R9, R10, R11, R13</t>
  </si>
  <si>
    <t>R12</t>
  </si>
  <si>
    <t>SW1</t>
  </si>
  <si>
    <t>U1</t>
  </si>
  <si>
    <t>U2</t>
  </si>
  <si>
    <t>U3</t>
  </si>
  <si>
    <t>X1</t>
  </si>
  <si>
    <t>Description</t>
  </si>
  <si>
    <t>5.05dBi Chip antenna Linear 160MHz 2.45GHz 1W 1206 Antennas ROHS</t>
  </si>
  <si>
    <t>CAP CER 1UF 6.3V X5R 0201</t>
  </si>
  <si>
    <t>CAP CER 10UF 10V X5R 0402</t>
  </si>
  <si>
    <t>CAP CER 0.1UF 10V X5R 0201</t>
  </si>
  <si>
    <t>CAP CER 2PF 25V C0G/NP0 0201</t>
  </si>
  <si>
    <t>CAP CER 1.3PF 50V C0G/NP0 0201</t>
  </si>
  <si>
    <t>CAP CER 3PF 50V C0G/NP0 0201</t>
  </si>
  <si>
    <t>TVS DIODE 5VWM 6.3VC DSN0603-2</t>
  </si>
  <si>
    <t>FERRITE BEAD 220 OHM 0603 1LN</t>
  </si>
  <si>
    <t>CONN RCPT USB2.0 MICRO B SMD R/A</t>
  </si>
  <si>
    <t>FIXED IND 2.7NH 500MA 200MOHM SM</t>
  </si>
  <si>
    <t>FIXED IND 10UH 50MA 1.17 OHM SMD</t>
  </si>
  <si>
    <t>blue 0603 Light Emitting Diodes (LED) ROHS</t>
  </si>
  <si>
    <t>RED LED 0603 Light Emitting Diodes</t>
  </si>
  <si>
    <t>RES 1K OHM 1% 1/20W 0201</t>
  </si>
  <si>
    <t>RES 15K OHM 1% 1/20W 0201</t>
  </si>
  <si>
    <t>RES 4.7K OHM 1% 1/20W 0201</t>
  </si>
  <si>
    <t>RES 100K OHM 1% 1/20W 0201</t>
  </si>
  <si>
    <t>TRIMMER 1M OHM 0.1W J LEAD TOP</t>
  </si>
  <si>
    <t>SWITCH TACTILE SPST-NO 0.05A 12V</t>
  </si>
  <si>
    <t>RF TXRX MODULE BLUETOOTH SMD</t>
  </si>
  <si>
    <t>IC AMP AUDIO PWR 3.2W D 9DSBGA</t>
  </si>
  <si>
    <t>3 CHANNEL TOUCH CONTROLLER, GPIO</t>
  </si>
  <si>
    <t>16MHz 15pF ±0.5%</t>
  </si>
  <si>
    <t>Footprint</t>
  </si>
  <si>
    <t>ANT3216LL00R2400A</t>
  </si>
  <si>
    <t>Cap-0201</t>
  </si>
  <si>
    <t>Cap-0402</t>
  </si>
  <si>
    <t>CAP-0201</t>
  </si>
  <si>
    <t>DSN0603-2</t>
  </si>
  <si>
    <t>IND-0603 (1608 Metric)</t>
  </si>
  <si>
    <t>IND-0201</t>
  </si>
  <si>
    <t>LED-0603</t>
  </si>
  <si>
    <t>Res-0201</t>
  </si>
  <si>
    <t>TC33X-2-105E</t>
  </si>
  <si>
    <t>B3U-1000P</t>
  </si>
  <si>
    <t>82-VFBGA</t>
  </si>
  <si>
    <t>9-DSBGA</t>
  </si>
  <si>
    <t>16-QFN (3x3).</t>
  </si>
  <si>
    <t>SMD3213-3P</t>
  </si>
  <si>
    <t>Manufacturer Part Number</t>
  </si>
  <si>
    <t>CC0201KRX5R5BB105</t>
  </si>
  <si>
    <t>CL05A106MP5NUNC</t>
  </si>
  <si>
    <t>CC0201KRX5R6BB104</t>
  </si>
  <si>
    <t>GRM0335C1E2R0BA01D</t>
  </si>
  <si>
    <t>GRM0335C1H1R3BA01D</t>
  </si>
  <si>
    <t>GRM0335C1H3R0BA01D</t>
  </si>
  <si>
    <t>PESD5V0H1BSFYL</t>
  </si>
  <si>
    <t>MPZ1608S221ATA00</t>
  </si>
  <si>
    <t>10118194-0001LF</t>
  </si>
  <si>
    <t>LQP03TN2N7B02D</t>
  </si>
  <si>
    <t>LQM18FN100M00D</t>
  </si>
  <si>
    <t>NCD0603B3</t>
  </si>
  <si>
    <t>NCD0603R3</t>
  </si>
  <si>
    <t>RC0201FR-071KP</t>
  </si>
  <si>
    <t>RC0201FR-0715KL</t>
  </si>
  <si>
    <t>RC0201FR-074K7L</t>
  </si>
  <si>
    <t>RC0201FR-07100KL</t>
  </si>
  <si>
    <t>IS2083BM-232</t>
  </si>
  <si>
    <t>TPA2011D1YFFR</t>
  </si>
  <si>
    <t>MTCH1030T-E/MG</t>
  </si>
  <si>
    <t>CSTCE16M0V53-R0</t>
  </si>
  <si>
    <t>Manufacturer</t>
  </si>
  <si>
    <t>YAGEO</t>
  </si>
  <si>
    <t>Yageo</t>
  </si>
  <si>
    <t>Samsung</t>
  </si>
  <si>
    <t>Murata</t>
  </si>
  <si>
    <t>Nexperia</t>
  </si>
  <si>
    <t>TDK</t>
  </si>
  <si>
    <t>Amphenol FCI</t>
  </si>
  <si>
    <t>Foshan NationStar Optoelectronics</t>
  </si>
  <si>
    <t>Bourns</t>
  </si>
  <si>
    <t>Omron</t>
  </si>
  <si>
    <t>Microchip Technology</t>
  </si>
  <si>
    <t>Texas Instruments</t>
  </si>
  <si>
    <t>Microchip</t>
  </si>
  <si>
    <t>LCSC Part Number</t>
  </si>
  <si>
    <t>C315248</t>
  </si>
  <si>
    <t>C190183</t>
  </si>
  <si>
    <t>C161383</t>
  </si>
  <si>
    <t>C237529</t>
  </si>
  <si>
    <t>C237430</t>
  </si>
  <si>
    <t>C477989</t>
  </si>
  <si>
    <t>C76815</t>
  </si>
  <si>
    <t>C132563</t>
  </si>
  <si>
    <t>C98043</t>
  </si>
  <si>
    <t>C86083</t>
  </si>
  <si>
    <t>C158101</t>
  </si>
  <si>
    <t>C3151730</t>
  </si>
  <si>
    <t>C295774</t>
  </si>
  <si>
    <t>C138135</t>
  </si>
  <si>
    <t>C468251</t>
  </si>
  <si>
    <t>C32180</t>
  </si>
  <si>
    <t>1uF</t>
  </si>
  <si>
    <t>10uF</t>
  </si>
  <si>
    <t>0.1uF</t>
  </si>
  <si>
    <t>2pF</t>
  </si>
  <si>
    <t>1.3pF</t>
  </si>
  <si>
    <t>3pF</t>
  </si>
  <si>
    <t>2.7nH</t>
  </si>
  <si>
    <t>10uH</t>
  </si>
  <si>
    <t>Blue</t>
  </si>
  <si>
    <t>RED</t>
  </si>
  <si>
    <t>1K</t>
  </si>
  <si>
    <t>15k</t>
  </si>
  <si>
    <t>4.7K</t>
  </si>
  <si>
    <t>100K</t>
  </si>
  <si>
    <t>1M</t>
  </si>
  <si>
    <t>16MHz</t>
  </si>
  <si>
    <t>Quantity</t>
  </si>
  <si>
    <t>Bill of Materials for Project [LEFT-Bone_Conduction_Glasses]</t>
  </si>
  <si>
    <t>Alternate Part Number</t>
  </si>
  <si>
    <t>LEFT-Bone_Conduction_Glasses</t>
  </si>
  <si>
    <t>Peripheral</t>
  </si>
  <si>
    <t>Custom</t>
  </si>
  <si>
    <t>-</t>
  </si>
  <si>
    <t>Value</t>
  </si>
  <si>
    <t>Quantity (5 Boards)</t>
  </si>
  <si>
    <t>MOQ (5 Boards)</t>
  </si>
  <si>
    <t>Links</t>
  </si>
  <si>
    <t>Unit Cost (5 Boards)</t>
  </si>
  <si>
    <t>Total Cost (5 Boards)</t>
  </si>
  <si>
    <t>Remarks</t>
  </si>
  <si>
    <t>Reviewer Remarks</t>
  </si>
  <si>
    <t>LCSC</t>
  </si>
  <si>
    <t>C106224</t>
  </si>
  <si>
    <t>GRM033R60J105KEA2D</t>
  </si>
  <si>
    <t>C76929</t>
  </si>
  <si>
    <t>AC0201FR-071KL</t>
  </si>
  <si>
    <t>C226458</t>
  </si>
  <si>
    <t>Chipsmall</t>
  </si>
  <si>
    <t>Digikey</t>
  </si>
  <si>
    <t>Battery</t>
  </si>
  <si>
    <t>3.7V Lithium Polymer Rechargeable Battery 501230 300mah</t>
  </si>
  <si>
    <t>Aliexpress</t>
  </si>
  <si>
    <t>Bone Conduction Module Sensor Deafness Dumb Mini bone conduction horn speaker (GD02)</t>
  </si>
  <si>
    <t>Transducer (GD02)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</si>
</sst>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h:mm:ss\ AM/PM;@"/>
    <numFmt numFmtId="165" formatCode="&quot;$&quot;#,##0.0000"/>
    <numFmt numFmtId="166" formatCode="&quot;$&quot;#,##0.00"/>
  </numFmts>
  <fonts count="25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24"/>
      <color indexed="10"/>
      <name val="Arial"/>
      <family val="2"/>
    </font>
    <font>
      <b/>
      <sz val="12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theme="0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7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3" fillId="3" borderId="13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8" fillId="3" borderId="0" xfId="0" applyFont="1" applyFill="1"/>
    <xf numFmtId="0" fontId="9" fillId="3" borderId="5" xfId="0" applyFont="1" applyFill="1" applyBorder="1"/>
    <xf numFmtId="0" fontId="9" fillId="3" borderId="6" xfId="0" applyFont="1" applyFill="1" applyBorder="1"/>
    <xf numFmtId="0" fontId="10" fillId="3" borderId="0" xfId="0" applyFont="1" applyFill="1"/>
    <xf numFmtId="0" fontId="11" fillId="3" borderId="3" xfId="0" applyFont="1" applyFill="1" applyBorder="1" applyAlignment="1" applyProtection="1">
      <alignment horizontal="left" vertical="top"/>
      <protection locked="0"/>
    </xf>
    <xf numFmtId="0" fontId="12" fillId="3" borderId="3" xfId="0" applyFont="1" applyFill="1" applyBorder="1" applyAlignment="1" applyProtection="1">
      <alignment horizontal="left" vertical="top"/>
      <protection locked="0"/>
    </xf>
    <xf numFmtId="0" fontId="14" fillId="3" borderId="11" xfId="0" applyFont="1" applyFill="1" applyBorder="1" applyAlignment="1">
      <alignment vertical="center"/>
    </xf>
    <xf numFmtId="0" fontId="15" fillId="3" borderId="12" xfId="0" applyFont="1" applyFill="1" applyBorder="1" applyAlignment="1">
      <alignment vertical="center"/>
    </xf>
    <xf numFmtId="0" fontId="11" fillId="3" borderId="0" xfId="0" applyFont="1" applyFill="1"/>
    <xf numFmtId="0" fontId="13" fillId="3" borderId="6" xfId="0" applyFont="1" applyFill="1" applyBorder="1"/>
    <xf numFmtId="0" fontId="13" fillId="3" borderId="5" xfId="0" applyFont="1" applyFill="1" applyBorder="1"/>
    <xf numFmtId="0" fontId="11" fillId="3" borderId="5" xfId="0" applyFont="1" applyFill="1" applyBorder="1"/>
    <xf numFmtId="0" fontId="13" fillId="3" borderId="5" xfId="0" applyFont="1" applyFill="1" applyBorder="1" applyAlignment="1">
      <alignment horizontal="left"/>
    </xf>
    <xf numFmtId="0" fontId="16" fillId="3" borderId="0" xfId="0" applyFont="1" applyFill="1"/>
    <xf numFmtId="0" fontId="13" fillId="3" borderId="1" xfId="0" applyFont="1" applyFill="1" applyBorder="1" applyAlignment="1">
      <alignment horizontal="left"/>
    </xf>
    <xf numFmtId="0" fontId="1" fillId="2" borderId="0" xfId="0" applyFont="1" applyFill="1" applyAlignment="1">
      <alignment horizontal="center"/>
    </xf>
    <xf numFmtId="0" fontId="2" fillId="3" borderId="10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13" fillId="3" borderId="1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3" borderId="7" xfId="0" applyFont="1" applyFill="1" applyBorder="1" applyAlignment="1">
      <alignment horizontal="center"/>
    </xf>
    <xf numFmtId="0" fontId="13" fillId="3" borderId="0" xfId="0" applyFont="1" applyFill="1"/>
    <xf numFmtId="164" fontId="13" fillId="3" borderId="0" xfId="0" applyNumberFormat="1" applyFont="1" applyFill="1" applyAlignment="1">
      <alignment horizontal="left"/>
    </xf>
    <xf numFmtId="0" fontId="17" fillId="4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13" fillId="3" borderId="3" xfId="0" applyFont="1" applyFill="1" applyBorder="1" applyAlignment="1" applyProtection="1">
      <alignment horizontal="center" vertical="top"/>
      <protection locked="0"/>
    </xf>
    <xf numFmtId="0" fontId="18" fillId="2" borderId="16" xfId="0" applyFont="1" applyFill="1" applyBorder="1" applyAlignment="1">
      <alignment horizontal="center" vertical="center" wrapText="1"/>
    </xf>
    <xf numFmtId="165" fontId="18" fillId="2" borderId="16" xfId="0" applyNumberFormat="1" applyFont="1" applyFill="1" applyBorder="1" applyAlignment="1">
      <alignment horizontal="center" vertical="center" wrapText="1"/>
    </xf>
    <xf numFmtId="0" fontId="18" fillId="2" borderId="1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2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166" fontId="15" fillId="3" borderId="15" xfId="0" quotePrefix="1" applyNumberFormat="1" applyFont="1" applyFill="1" applyBorder="1" applyAlignment="1">
      <alignment horizontal="center" vertical="center" wrapText="1"/>
    </xf>
    <xf numFmtId="166" fontId="15" fillId="3" borderId="21" xfId="0" applyNumberFormat="1" applyFont="1" applyFill="1" applyBorder="1" applyAlignment="1">
      <alignment horizontal="center" vertical="center"/>
    </xf>
    <xf numFmtId="0" fontId="19" fillId="2" borderId="16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 vertical="center" wrapText="1"/>
    </xf>
    <xf numFmtId="165" fontId="18" fillId="2" borderId="17" xfId="0" applyNumberFormat="1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17" xfId="0" applyFont="1" applyFill="1" applyBorder="1" applyAlignment="1">
      <alignment horizontal="center" vertical="center" wrapText="1"/>
    </xf>
    <xf numFmtId="0" fontId="15" fillId="3" borderId="12" xfId="0" quotePrefix="1" applyFont="1" applyFill="1" applyBorder="1" applyAlignment="1">
      <alignment vertical="center"/>
    </xf>
    <xf numFmtId="0" fontId="11" fillId="3" borderId="0" xfId="0" quotePrefix="1" applyFont="1" applyFill="1" applyAlignment="1">
      <alignment horizontal="left"/>
    </xf>
    <xf numFmtId="0" fontId="11" fillId="3" borderId="6" xfId="0" quotePrefix="1" applyFont="1" applyFill="1" applyBorder="1" applyAlignment="1">
      <alignment horizontal="left"/>
    </xf>
    <xf numFmtId="0" fontId="11" fillId="3" borderId="5" xfId="0" quotePrefix="1" applyFont="1" applyFill="1" applyBorder="1" applyAlignment="1">
      <alignment horizontal="left"/>
    </xf>
    <xf numFmtId="0" fontId="18" fillId="2" borderId="22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22" fillId="2" borderId="16" xfId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22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4" fillId="2" borderId="2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3" borderId="0" xfId="0" applyFont="1" applyFill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0" fontId="20" fillId="3" borderId="20" xfId="0" applyFont="1" applyFill="1" applyBorder="1" applyAlignment="1" applyProtection="1">
      <alignment horizontal="center" vertical="top"/>
      <protection locked="0"/>
    </xf>
    <xf numFmtId="0" fontId="20" fillId="3" borderId="12" xfId="0" applyFont="1" applyFill="1" applyBorder="1" applyAlignment="1" applyProtection="1">
      <alignment horizontal="center" vertical="top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9927550" y="620017"/>
          <a:ext cx="1714500" cy="1104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csc.com/product-detail/USB-Connectors_Amphenol-ICC-10118194-0001LF_C132563.html" TargetMode="External"/><Relationship Id="rId13" Type="http://schemas.openxmlformats.org/officeDocument/2006/relationships/hyperlink" Target="https://www.lcsc.com/product-detail/Chip-Resistor-Surface-Mount_YAGEO-RC0201FR-0715KL_C295774.html" TargetMode="External"/><Relationship Id="rId18" Type="http://schemas.openxmlformats.org/officeDocument/2006/relationships/hyperlink" Target="https://www.lcsc.com/product-detail/Multilayer-Ceramic-Capacitors-MLCC-SMD-SMT_Murata-Electronics-GRM033R60J105KEA2D_C76929.html" TargetMode="External"/><Relationship Id="rId26" Type="http://schemas.openxmlformats.org/officeDocument/2006/relationships/hyperlink" Target="https://www.aliexpress.us/item/1005003638908278.html" TargetMode="External"/><Relationship Id="rId3" Type="http://schemas.openxmlformats.org/officeDocument/2006/relationships/hyperlink" Target="https://www.lcsc.com/product-detail/Multilayer-Ceramic-Capacitors-MLCC-SMD-SMT_Murata-Electronics-GRM0335C1E2R0BA01D_C161383.html" TargetMode="External"/><Relationship Id="rId21" Type="http://schemas.openxmlformats.org/officeDocument/2006/relationships/hyperlink" Target="https://www.chipsmall.com/Products/TC33X-2-105E_11806569.html" TargetMode="External"/><Relationship Id="rId7" Type="http://schemas.openxmlformats.org/officeDocument/2006/relationships/hyperlink" Target="https://www.lcsc.com/product-detail/Ferrite-Beads_TDK-MPZ1608S221ATA00_C76815.html" TargetMode="External"/><Relationship Id="rId12" Type="http://schemas.openxmlformats.org/officeDocument/2006/relationships/hyperlink" Target="https://www.lcsc.com/product-detail/Light-Emitting-Diodes-LED_Foshan-NationStar-Optoelectronics-NCD0603R3_C3151730.html" TargetMode="External"/><Relationship Id="rId17" Type="http://schemas.openxmlformats.org/officeDocument/2006/relationships/hyperlink" Target="https://www.lcsc.com/product-detail/Ceramic-Resonators_Murata-Electronics-CSTCE16M0V53-R0_C32180.html" TargetMode="External"/><Relationship Id="rId25" Type="http://schemas.openxmlformats.org/officeDocument/2006/relationships/hyperlink" Target="https://vi.aliexpress.com/item/1005006284569731.html?gatewayAdapt=glo2vnm" TargetMode="External"/><Relationship Id="rId2" Type="http://schemas.openxmlformats.org/officeDocument/2006/relationships/hyperlink" Target="https://www.lcsc.com/product-detail/Multilayer-Ceramic-Capacitors-MLCC-SMD-SMT_YAGEO-CC0201KRX5R6BB104_C190183.html" TargetMode="External"/><Relationship Id="rId16" Type="http://schemas.openxmlformats.org/officeDocument/2006/relationships/hyperlink" Target="https://www.lcsc.com/product-detail/Audio-Power-OpAmps_Texas-Instruments-TPA2011D1YFFR_C468251.html" TargetMode="External"/><Relationship Id="rId20" Type="http://schemas.openxmlformats.org/officeDocument/2006/relationships/hyperlink" Target="https://www.chipsmall.com/Products/ANT3216LL00R2400A_11709044.html" TargetMode="External"/><Relationship Id="rId1" Type="http://schemas.openxmlformats.org/officeDocument/2006/relationships/hyperlink" Target="https://www.lcsc.com/product-detail/Multilayer-Ceramic-Capacitors-MLCC-SMD-SMT_Samsung-Electro-Mechanics-CL05A106MP5NUNC_C315248.html" TargetMode="External"/><Relationship Id="rId6" Type="http://schemas.openxmlformats.org/officeDocument/2006/relationships/hyperlink" Target="https://www.lcsc.com/product-detail/Electrostatic-and-Surge-Protection-TVS-ESD_Nexperia-PESD5V0H1BSF_C477989.html" TargetMode="External"/><Relationship Id="rId11" Type="http://schemas.openxmlformats.org/officeDocument/2006/relationships/hyperlink" Target="https://www.lcsc.com/product-detail/Light-Emitting-Diodes-LED_Foshan-NationStar-Optoelectronics-NCD0603B3_C158101.html" TargetMode="External"/><Relationship Id="rId24" Type="http://schemas.openxmlformats.org/officeDocument/2006/relationships/hyperlink" Target="https://www.digikey.com/en/products/detail/microchip-technology/MTCH1030T-E-MG/18443720?s=N4IgTCBcDaILIBUDCAJAjABgMwYQWgFEB6OAcRAF0BfIA" TargetMode="External"/><Relationship Id="rId5" Type="http://schemas.openxmlformats.org/officeDocument/2006/relationships/hyperlink" Target="https://www.lcsc.com/product-detail/Multilayer-Ceramic-Capacitors-MLCC-SMD-SMT_Murata-Electronics-GRM0335C1H3R0BA01D_C237430.html" TargetMode="External"/><Relationship Id="rId15" Type="http://schemas.openxmlformats.org/officeDocument/2006/relationships/hyperlink" Target="https://www.lcsc.com/product-detail/Chip-Resistor-Surface-Mount_YAGEO-RC0201FR-07100KL_C106224.html" TargetMode="External"/><Relationship Id="rId23" Type="http://schemas.openxmlformats.org/officeDocument/2006/relationships/hyperlink" Target="https://www.chipsmall.com/Products/IS2083BM-232_30856103.html" TargetMode="External"/><Relationship Id="rId28" Type="http://schemas.openxmlformats.org/officeDocument/2006/relationships/drawing" Target="../drawings/drawing1.xml"/><Relationship Id="rId10" Type="http://schemas.openxmlformats.org/officeDocument/2006/relationships/hyperlink" Target="https://www.lcsc.com/product-detail/Inductors-SMD_Murata-Electronics-LQM18FN100M00D_C86083.html" TargetMode="External"/><Relationship Id="rId19" Type="http://schemas.openxmlformats.org/officeDocument/2006/relationships/hyperlink" Target="https://www.lcsc.com/product-detail/Chip-Resistor-Surface-Mount_YAGEO-AC0201FR-071KL_C226458.html" TargetMode="External"/><Relationship Id="rId4" Type="http://schemas.openxmlformats.org/officeDocument/2006/relationships/hyperlink" Target="https://www.lcsc.com/product-detail/Multilayer-Ceramic-Capacitors-MLCC-SMD-SMT_Murata-Electronics-GRM0335C1H1R3BA01D_C237529.html" TargetMode="External"/><Relationship Id="rId9" Type="http://schemas.openxmlformats.org/officeDocument/2006/relationships/hyperlink" Target="https://www.lcsc.com/product-detail/Inductors-SMD_Murata-Electronics-LQP03TN2N7B02D_C98043.html" TargetMode="External"/><Relationship Id="rId14" Type="http://schemas.openxmlformats.org/officeDocument/2006/relationships/hyperlink" Target="https://www.lcsc.com/product-detail/Chip-Resistor-Surface-Mount_YAGEO-RC0201FR-074K7L_C138135.html" TargetMode="External"/><Relationship Id="rId22" Type="http://schemas.openxmlformats.org/officeDocument/2006/relationships/hyperlink" Target="https://www.chipsmall.com/Products/B3U-1000P_10258317.html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37"/>
  <sheetViews>
    <sheetView tabSelected="1" topLeftCell="A19" workbookViewId="0">
      <selection activeCell="I48" sqref="I48"/>
    </sheetView>
  </sheetViews>
  <sheetFormatPr defaultRowHeight="15" x14ac:dyDescent="0.25"/>
  <cols>
    <col min="2" max="2" width="3.140625" style="26" customWidth="1"/>
    <col min="3" max="3" width="18" style="26" bestFit="1" customWidth="1"/>
    <col min="4" max="4" width="27.42578125" customWidth="1"/>
    <col min="5" max="5" width="30.85546875" customWidth="1"/>
    <col min="6" max="6" width="22.28515625" bestFit="1" customWidth="1"/>
    <col min="7" max="7" width="33.42578125" bestFit="1" customWidth="1"/>
    <col min="8" max="8" width="18" bestFit="1" customWidth="1"/>
    <col min="9" max="9" width="21.5703125" bestFit="1" customWidth="1"/>
    <col min="10" max="10" width="17" bestFit="1" customWidth="1"/>
    <col min="11" max="11" width="9.7109375" bestFit="1" customWidth="1"/>
    <col min="12" max="12" width="8.7109375" bestFit="1" customWidth="1"/>
    <col min="13" max="13" width="18.28515625" bestFit="1" customWidth="1"/>
    <col min="14" max="14" width="15.140625" bestFit="1" customWidth="1"/>
    <col min="15" max="15" width="9.85546875" customWidth="1"/>
    <col min="16" max="16" width="18.7109375" bestFit="1" customWidth="1"/>
    <col min="17" max="17" width="19.28515625" bestFit="1" customWidth="1"/>
    <col min="18" max="18" width="8.5703125" bestFit="1" customWidth="1"/>
    <col min="19" max="19" width="26.85546875" bestFit="1" customWidth="1"/>
    <col min="21" max="21" width="10.5703125" bestFit="1" customWidth="1"/>
    <col min="22" max="22" width="25.28515625" bestFit="1" customWidth="1"/>
    <col min="23" max="23" width="8.7109375" bestFit="1" customWidth="1"/>
  </cols>
  <sheetData>
    <row r="1" spans="1:19" ht="15.75" thickBot="1" x14ac:dyDescent="0.3">
      <c r="A1" s="1"/>
      <c r="B1" s="20"/>
      <c r="C1" s="20"/>
      <c r="D1" s="2"/>
      <c r="E1" s="2"/>
      <c r="F1" s="2"/>
      <c r="G1" s="2"/>
      <c r="H1" s="2"/>
      <c r="I1" s="2"/>
      <c r="J1" s="2"/>
      <c r="K1" s="68"/>
      <c r="L1" s="68"/>
      <c r="M1" s="68"/>
      <c r="N1" s="68"/>
      <c r="O1" s="68"/>
      <c r="P1" s="68"/>
      <c r="Q1" s="68"/>
      <c r="R1" s="68"/>
      <c r="S1" s="69"/>
    </row>
    <row r="2" spans="1:19" ht="32.25" thickBot="1" x14ac:dyDescent="0.3">
      <c r="A2" s="1"/>
      <c r="B2" s="21"/>
      <c r="C2" s="31"/>
      <c r="D2" s="11" t="s">
        <v>0</v>
      </c>
      <c r="E2" s="11"/>
      <c r="F2" s="55" t="s">
        <v>157</v>
      </c>
      <c r="G2" s="12"/>
      <c r="H2" s="4"/>
      <c r="I2" s="12"/>
      <c r="J2" s="4"/>
      <c r="K2" s="4"/>
      <c r="L2" s="4"/>
      <c r="M2" s="4"/>
      <c r="N2" s="4"/>
      <c r="O2" s="4"/>
      <c r="P2" s="4"/>
      <c r="Q2" s="4"/>
      <c r="R2" s="4"/>
      <c r="S2" s="3"/>
    </row>
    <row r="3" spans="1:19" x14ac:dyDescent="0.25">
      <c r="A3" s="1"/>
      <c r="B3" s="22"/>
      <c r="C3" s="32"/>
      <c r="D3" s="13" t="s">
        <v>1</v>
      </c>
      <c r="E3" s="13"/>
      <c r="F3" s="56" t="s">
        <v>159</v>
      </c>
      <c r="G3" s="13"/>
      <c r="H3" s="5"/>
      <c r="I3" s="13"/>
      <c r="J3" s="5"/>
      <c r="K3" s="5"/>
      <c r="L3" s="5"/>
      <c r="M3" s="5"/>
      <c r="N3" s="5"/>
      <c r="O3" s="5"/>
      <c r="P3" s="5"/>
      <c r="Q3" s="5"/>
      <c r="R3" s="5"/>
      <c r="S3" s="70"/>
    </row>
    <row r="4" spans="1:19" x14ac:dyDescent="0.25">
      <c r="A4" s="1"/>
      <c r="B4" s="22"/>
      <c r="C4" s="32"/>
      <c r="D4" s="13" t="s">
        <v>2</v>
      </c>
      <c r="E4" s="13"/>
      <c r="F4" s="57" t="s">
        <v>159</v>
      </c>
      <c r="G4" s="14"/>
      <c r="H4" s="7"/>
      <c r="I4" s="14"/>
      <c r="J4" s="7"/>
      <c r="K4" s="7"/>
      <c r="L4" s="6"/>
      <c r="M4" s="6"/>
      <c r="N4" s="6"/>
      <c r="O4" s="6"/>
      <c r="P4" s="6"/>
      <c r="Q4" s="6"/>
      <c r="R4" s="6"/>
      <c r="S4" s="71"/>
    </row>
    <row r="5" spans="1:19" x14ac:dyDescent="0.25">
      <c r="A5" s="1"/>
      <c r="B5" s="22"/>
      <c r="C5" s="32"/>
      <c r="D5" s="13" t="s">
        <v>3</v>
      </c>
      <c r="E5" s="13"/>
      <c r="F5" s="58" t="s">
        <v>7</v>
      </c>
      <c r="G5" s="15"/>
      <c r="H5" s="6"/>
      <c r="I5" s="15"/>
      <c r="J5" s="6"/>
      <c r="K5" s="6"/>
      <c r="L5" s="6"/>
      <c r="M5" s="6"/>
      <c r="N5" s="6"/>
      <c r="O5" s="6"/>
      <c r="P5" s="6"/>
      <c r="Q5" s="6"/>
      <c r="R5" s="6"/>
      <c r="S5" s="71"/>
    </row>
    <row r="6" spans="1:19" x14ac:dyDescent="0.25">
      <c r="A6" s="1"/>
      <c r="B6" s="23"/>
      <c r="C6" s="33"/>
      <c r="D6" s="16"/>
      <c r="E6" s="16"/>
      <c r="F6" s="17"/>
      <c r="G6" s="15"/>
      <c r="H6" s="6"/>
      <c r="I6" s="15"/>
      <c r="J6" s="6"/>
      <c r="K6" s="6"/>
      <c r="L6" s="6"/>
      <c r="M6" s="6"/>
      <c r="N6" s="6"/>
      <c r="O6" s="6"/>
      <c r="P6" s="6"/>
      <c r="Q6" s="6"/>
      <c r="R6" s="6"/>
      <c r="S6" s="71"/>
    </row>
    <row r="7" spans="1:19" x14ac:dyDescent="0.25">
      <c r="A7" s="1"/>
      <c r="B7" s="24"/>
      <c r="C7" s="34"/>
      <c r="D7" s="18"/>
      <c r="E7" s="18"/>
      <c r="F7" s="19"/>
      <c r="G7" s="18"/>
      <c r="H7" s="8"/>
      <c r="I7" s="18"/>
      <c r="J7" s="8"/>
      <c r="K7" s="8"/>
      <c r="L7" s="8"/>
      <c r="M7" s="8"/>
      <c r="N7" s="8"/>
      <c r="O7" s="8"/>
      <c r="P7" s="8"/>
      <c r="Q7" s="8"/>
      <c r="R7" s="8"/>
      <c r="S7" s="71"/>
    </row>
    <row r="8" spans="1:19" ht="15.75" thickBot="1" x14ac:dyDescent="0.3">
      <c r="A8" s="1"/>
      <c r="B8" s="27"/>
      <c r="C8" s="35"/>
      <c r="D8" s="28"/>
      <c r="E8" s="28"/>
      <c r="F8" s="29"/>
      <c r="G8" s="18"/>
      <c r="H8" s="8"/>
      <c r="I8" s="18"/>
      <c r="J8" s="8"/>
      <c r="K8" s="8"/>
      <c r="L8" s="8"/>
      <c r="M8" s="8"/>
      <c r="N8" s="8"/>
      <c r="O8" s="8"/>
      <c r="P8" s="8"/>
      <c r="Q8" s="8"/>
      <c r="R8" s="8"/>
      <c r="S8" s="71"/>
    </row>
    <row r="9" spans="1:19" ht="15.75" thickBot="1" x14ac:dyDescent="0.3">
      <c r="A9" s="1"/>
      <c r="B9" s="30" t="s">
        <v>4</v>
      </c>
      <c r="C9" s="30" t="s">
        <v>8</v>
      </c>
      <c r="D9" s="30" t="s">
        <v>21</v>
      </c>
      <c r="E9" s="30" t="s">
        <v>46</v>
      </c>
      <c r="F9" s="30" t="s">
        <v>71</v>
      </c>
      <c r="G9" s="30" t="s">
        <v>87</v>
      </c>
      <c r="H9" s="30" t="s">
        <v>109</v>
      </c>
      <c r="I9" s="30" t="s">
        <v>158</v>
      </c>
      <c r="J9" s="30" t="s">
        <v>123</v>
      </c>
      <c r="K9" s="30" t="s">
        <v>163</v>
      </c>
      <c r="L9" s="30" t="s">
        <v>156</v>
      </c>
      <c r="M9" s="30" t="s">
        <v>164</v>
      </c>
      <c r="N9" s="30" t="s">
        <v>165</v>
      </c>
      <c r="O9" s="30" t="s">
        <v>166</v>
      </c>
      <c r="P9" s="30" t="s">
        <v>167</v>
      </c>
      <c r="Q9" s="30" t="s">
        <v>168</v>
      </c>
      <c r="R9" s="30" t="s">
        <v>169</v>
      </c>
      <c r="S9" s="30" t="s">
        <v>170</v>
      </c>
    </row>
    <row r="10" spans="1:19" ht="24" x14ac:dyDescent="0.25">
      <c r="A10" s="1"/>
      <c r="B10" s="46">
        <f>ROW(B10) - ROW($B$9)</f>
        <v>1</v>
      </c>
      <c r="C10" s="53" t="s">
        <v>9</v>
      </c>
      <c r="D10" s="37" t="s">
        <v>22</v>
      </c>
      <c r="E10" s="37" t="s">
        <v>47</v>
      </c>
      <c r="F10" s="37" t="s">
        <v>161</v>
      </c>
      <c r="G10" s="61" t="s">
        <v>72</v>
      </c>
      <c r="H10" s="37" t="s">
        <v>110</v>
      </c>
      <c r="I10" s="37" t="s">
        <v>162</v>
      </c>
      <c r="J10" s="37" t="s">
        <v>162</v>
      </c>
      <c r="K10" s="61" t="s">
        <v>162</v>
      </c>
      <c r="L10" s="37">
        <v>1</v>
      </c>
      <c r="M10" s="37">
        <f>L10*5</f>
        <v>5</v>
      </c>
      <c r="N10" s="37">
        <v>6</v>
      </c>
      <c r="O10" s="63" t="s">
        <v>177</v>
      </c>
      <c r="P10" s="38">
        <v>0.36</v>
      </c>
      <c r="Q10" s="38">
        <f>P10*N10</f>
        <v>2.16</v>
      </c>
      <c r="R10" s="37"/>
      <c r="S10" s="50"/>
    </row>
    <row r="11" spans="1:19" ht="36" x14ac:dyDescent="0.25">
      <c r="A11" s="1"/>
      <c r="B11" s="47">
        <f t="shared" ref="B11:B32" si="0">ROW(B11) - ROW($B$9)</f>
        <v>2</v>
      </c>
      <c r="C11" s="54" t="s">
        <v>10</v>
      </c>
      <c r="D11" s="51" t="s">
        <v>23</v>
      </c>
      <c r="E11" s="51" t="s">
        <v>48</v>
      </c>
      <c r="F11" s="51" t="s">
        <v>73</v>
      </c>
      <c r="G11" s="64" t="s">
        <v>88</v>
      </c>
      <c r="H11" s="51" t="s">
        <v>111</v>
      </c>
      <c r="I11" s="51" t="s">
        <v>173</v>
      </c>
      <c r="J11" s="51" t="s">
        <v>174</v>
      </c>
      <c r="K11" s="62" t="s">
        <v>140</v>
      </c>
      <c r="L11" s="51">
        <v>18</v>
      </c>
      <c r="M11" s="51">
        <f t="shared" ref="M11" si="1">L11*5</f>
        <v>90</v>
      </c>
      <c r="N11" s="51">
        <v>100</v>
      </c>
      <c r="O11" s="63" t="s">
        <v>171</v>
      </c>
      <c r="P11" s="52">
        <v>2.8E-3</v>
      </c>
      <c r="Q11" s="52">
        <f t="shared" ref="Q11" si="2">P11*N11</f>
        <v>0.27999999999999997</v>
      </c>
      <c r="R11" s="51"/>
      <c r="S11" s="51"/>
    </row>
    <row r="12" spans="1:19" x14ac:dyDescent="0.25">
      <c r="A12" s="1"/>
      <c r="B12" s="46">
        <f>ROW(B12) - ROW($B$9)</f>
        <v>3</v>
      </c>
      <c r="C12" s="53" t="s">
        <v>10</v>
      </c>
      <c r="D12" s="37" t="s">
        <v>24</v>
      </c>
      <c r="E12" s="37" t="s">
        <v>49</v>
      </c>
      <c r="F12" s="37" t="s">
        <v>74</v>
      </c>
      <c r="G12" s="61" t="s">
        <v>89</v>
      </c>
      <c r="H12" s="37" t="s">
        <v>112</v>
      </c>
      <c r="I12" s="37" t="s">
        <v>162</v>
      </c>
      <c r="J12" s="37" t="s">
        <v>124</v>
      </c>
      <c r="K12" s="61" t="s">
        <v>141</v>
      </c>
      <c r="L12" s="37">
        <v>6</v>
      </c>
      <c r="M12" s="37">
        <f>L12*5</f>
        <v>30</v>
      </c>
      <c r="N12" s="37">
        <v>50</v>
      </c>
      <c r="O12" s="63" t="s">
        <v>171</v>
      </c>
      <c r="P12" s="38">
        <v>9.7999999999999997E-3</v>
      </c>
      <c r="Q12" s="38">
        <f>P12*N12</f>
        <v>0.49</v>
      </c>
      <c r="R12" s="37"/>
      <c r="S12" s="59"/>
    </row>
    <row r="13" spans="1:19" x14ac:dyDescent="0.25">
      <c r="A13" s="1"/>
      <c r="B13" s="47">
        <f t="shared" si="0"/>
        <v>4</v>
      </c>
      <c r="C13" s="53" t="s">
        <v>10</v>
      </c>
      <c r="D13" s="51" t="s">
        <v>25</v>
      </c>
      <c r="E13" s="51" t="s">
        <v>50</v>
      </c>
      <c r="F13" s="51" t="s">
        <v>75</v>
      </c>
      <c r="G13" s="62" t="s">
        <v>90</v>
      </c>
      <c r="H13" s="51" t="s">
        <v>111</v>
      </c>
      <c r="I13" s="37" t="s">
        <v>162</v>
      </c>
      <c r="J13" s="51" t="s">
        <v>125</v>
      </c>
      <c r="K13" s="62" t="s">
        <v>142</v>
      </c>
      <c r="L13" s="51">
        <v>4</v>
      </c>
      <c r="M13" s="51">
        <f t="shared" ref="M13" si="3">L13*5</f>
        <v>20</v>
      </c>
      <c r="N13" s="51">
        <v>100</v>
      </c>
      <c r="O13" s="63" t="s">
        <v>171</v>
      </c>
      <c r="P13" s="52">
        <v>1.1999999999999999E-3</v>
      </c>
      <c r="Q13" s="52">
        <f t="shared" ref="Q13" si="4">P13*N13</f>
        <v>0.12</v>
      </c>
      <c r="R13" s="51"/>
      <c r="S13" s="59"/>
    </row>
    <row r="14" spans="1:19" x14ac:dyDescent="0.25">
      <c r="A14" s="1"/>
      <c r="B14" s="46">
        <f>ROW(B14) - ROW($B$9)</f>
        <v>5</v>
      </c>
      <c r="C14" s="53" t="s">
        <v>10</v>
      </c>
      <c r="D14" s="37" t="s">
        <v>26</v>
      </c>
      <c r="E14" s="37" t="s">
        <v>51</v>
      </c>
      <c r="F14" s="37" t="s">
        <v>75</v>
      </c>
      <c r="G14" s="61" t="s">
        <v>91</v>
      </c>
      <c r="H14" s="37" t="s">
        <v>113</v>
      </c>
      <c r="I14" s="37" t="s">
        <v>162</v>
      </c>
      <c r="J14" s="37" t="s">
        <v>126</v>
      </c>
      <c r="K14" s="61" t="s">
        <v>143</v>
      </c>
      <c r="L14" s="37">
        <v>1</v>
      </c>
      <c r="M14" s="37">
        <f>L14*5</f>
        <v>5</v>
      </c>
      <c r="N14" s="37">
        <v>100</v>
      </c>
      <c r="O14" s="63" t="s">
        <v>171</v>
      </c>
      <c r="P14" s="38">
        <v>4.3E-3</v>
      </c>
      <c r="Q14" s="38">
        <f>P14*N14</f>
        <v>0.43</v>
      </c>
      <c r="R14" s="37"/>
      <c r="S14" s="59"/>
    </row>
    <row r="15" spans="1:19" x14ac:dyDescent="0.25">
      <c r="A15" s="1"/>
      <c r="B15" s="47">
        <f t="shared" si="0"/>
        <v>6</v>
      </c>
      <c r="C15" s="54" t="s">
        <v>10</v>
      </c>
      <c r="D15" s="51" t="s">
        <v>27</v>
      </c>
      <c r="E15" s="51" t="s">
        <v>52</v>
      </c>
      <c r="F15" s="51" t="s">
        <v>75</v>
      </c>
      <c r="G15" s="62" t="s">
        <v>92</v>
      </c>
      <c r="H15" s="51" t="s">
        <v>113</v>
      </c>
      <c r="I15" s="37" t="s">
        <v>162</v>
      </c>
      <c r="J15" s="51" t="s">
        <v>127</v>
      </c>
      <c r="K15" s="62" t="s">
        <v>144</v>
      </c>
      <c r="L15" s="51">
        <v>1</v>
      </c>
      <c r="M15" s="51">
        <f t="shared" ref="M15" si="5">L15*5</f>
        <v>5</v>
      </c>
      <c r="N15" s="51">
        <v>100</v>
      </c>
      <c r="O15" s="63" t="s">
        <v>171</v>
      </c>
      <c r="P15" s="52">
        <v>4.4000000000000003E-3</v>
      </c>
      <c r="Q15" s="52">
        <f t="shared" ref="Q15" si="6">P15*N15</f>
        <v>0.44</v>
      </c>
      <c r="R15" s="51"/>
      <c r="S15" s="59"/>
    </row>
    <row r="16" spans="1:19" x14ac:dyDescent="0.25">
      <c r="A16" s="1"/>
      <c r="B16" s="46">
        <f>ROW(B16) - ROW($B$9)</f>
        <v>7</v>
      </c>
      <c r="C16" s="53" t="s">
        <v>10</v>
      </c>
      <c r="D16" s="37" t="s">
        <v>28</v>
      </c>
      <c r="E16" s="37" t="s">
        <v>53</v>
      </c>
      <c r="F16" s="37" t="s">
        <v>75</v>
      </c>
      <c r="G16" s="61" t="s">
        <v>93</v>
      </c>
      <c r="H16" s="37" t="s">
        <v>113</v>
      </c>
      <c r="I16" s="37" t="s">
        <v>162</v>
      </c>
      <c r="J16" s="37" t="s">
        <v>128</v>
      </c>
      <c r="K16" s="61" t="s">
        <v>145</v>
      </c>
      <c r="L16" s="37">
        <v>2</v>
      </c>
      <c r="M16" s="37">
        <f>L16*5</f>
        <v>10</v>
      </c>
      <c r="N16" s="37">
        <v>100</v>
      </c>
      <c r="O16" s="63" t="s">
        <v>171</v>
      </c>
      <c r="P16" s="38">
        <v>4.3E-3</v>
      </c>
      <c r="Q16" s="38">
        <f>P16*N16</f>
        <v>0.43</v>
      </c>
      <c r="R16" s="37"/>
      <c r="S16" s="59"/>
    </row>
    <row r="17" spans="1:19" x14ac:dyDescent="0.25">
      <c r="A17" s="1"/>
      <c r="B17" s="47">
        <f t="shared" si="0"/>
        <v>8</v>
      </c>
      <c r="C17" s="54" t="s">
        <v>11</v>
      </c>
      <c r="D17" s="51" t="s">
        <v>29</v>
      </c>
      <c r="E17" s="51" t="s">
        <v>54</v>
      </c>
      <c r="F17" s="51" t="s">
        <v>76</v>
      </c>
      <c r="G17" s="62" t="s">
        <v>94</v>
      </c>
      <c r="H17" s="51" t="s">
        <v>114</v>
      </c>
      <c r="I17" s="51" t="s">
        <v>162</v>
      </c>
      <c r="J17" s="51" t="s">
        <v>129</v>
      </c>
      <c r="K17" s="62" t="s">
        <v>162</v>
      </c>
      <c r="L17" s="51">
        <v>4</v>
      </c>
      <c r="M17" s="51">
        <f t="shared" ref="M17" si="7">L17*5</f>
        <v>20</v>
      </c>
      <c r="N17" s="51">
        <v>40</v>
      </c>
      <c r="O17" s="63" t="s">
        <v>171</v>
      </c>
      <c r="P17" s="52">
        <v>3.1199999999999999E-2</v>
      </c>
      <c r="Q17" s="52">
        <f t="shared" ref="Q17" si="8">P17*N17</f>
        <v>1.248</v>
      </c>
      <c r="R17" s="51"/>
      <c r="S17" s="59"/>
    </row>
    <row r="18" spans="1:19" x14ac:dyDescent="0.25">
      <c r="A18" s="1"/>
      <c r="B18" s="46">
        <f>ROW(B18) - ROW($B$9)</f>
        <v>9</v>
      </c>
      <c r="C18" s="53" t="s">
        <v>12</v>
      </c>
      <c r="D18" s="37" t="s">
        <v>30</v>
      </c>
      <c r="E18" s="37" t="s">
        <v>55</v>
      </c>
      <c r="F18" s="37" t="s">
        <v>77</v>
      </c>
      <c r="G18" s="61" t="s">
        <v>95</v>
      </c>
      <c r="H18" s="37" t="s">
        <v>115</v>
      </c>
      <c r="I18" s="37" t="s">
        <v>162</v>
      </c>
      <c r="J18" s="37" t="s">
        <v>130</v>
      </c>
      <c r="K18" s="62" t="s">
        <v>162</v>
      </c>
      <c r="L18" s="37">
        <v>2</v>
      </c>
      <c r="M18" s="37">
        <f>L18*5</f>
        <v>10</v>
      </c>
      <c r="N18" s="37">
        <v>50</v>
      </c>
      <c r="O18" s="63" t="s">
        <v>171</v>
      </c>
      <c r="P18" s="38">
        <v>1.8800000000000001E-2</v>
      </c>
      <c r="Q18" s="38">
        <f>P18*N18</f>
        <v>0.94000000000000006</v>
      </c>
      <c r="R18" s="37"/>
      <c r="S18" s="59"/>
    </row>
    <row r="19" spans="1:19" x14ac:dyDescent="0.25">
      <c r="A19" s="1"/>
      <c r="B19" s="46">
        <f>ROW(B19) - ROW($B$9)</f>
        <v>10</v>
      </c>
      <c r="C19" s="53" t="s">
        <v>13</v>
      </c>
      <c r="D19" s="37" t="s">
        <v>31</v>
      </c>
      <c r="E19" s="37" t="s">
        <v>56</v>
      </c>
      <c r="F19" s="37" t="s">
        <v>161</v>
      </c>
      <c r="G19" s="61" t="s">
        <v>96</v>
      </c>
      <c r="H19" s="37" t="s">
        <v>116</v>
      </c>
      <c r="I19" s="37"/>
      <c r="J19" s="37" t="s">
        <v>131</v>
      </c>
      <c r="K19" s="62" t="s">
        <v>162</v>
      </c>
      <c r="L19" s="37">
        <v>1</v>
      </c>
      <c r="M19" s="37">
        <f>L19*5</f>
        <v>5</v>
      </c>
      <c r="N19" s="37">
        <v>10</v>
      </c>
      <c r="O19" s="63" t="s">
        <v>171</v>
      </c>
      <c r="P19" s="38">
        <v>0.19270000000000001</v>
      </c>
      <c r="Q19" s="38">
        <f>P19*N19</f>
        <v>1.927</v>
      </c>
      <c r="R19" s="37"/>
      <c r="S19" s="59"/>
    </row>
    <row r="20" spans="1:19" x14ac:dyDescent="0.25">
      <c r="A20" s="1"/>
      <c r="B20" s="47">
        <f t="shared" si="0"/>
        <v>11</v>
      </c>
      <c r="C20" s="54" t="s">
        <v>14</v>
      </c>
      <c r="D20" s="51" t="s">
        <v>32</v>
      </c>
      <c r="E20" s="51" t="s">
        <v>57</v>
      </c>
      <c r="F20" s="51" t="s">
        <v>78</v>
      </c>
      <c r="G20" s="62" t="s">
        <v>97</v>
      </c>
      <c r="H20" s="51" t="s">
        <v>113</v>
      </c>
      <c r="I20" s="51" t="s">
        <v>162</v>
      </c>
      <c r="J20" s="51" t="s">
        <v>132</v>
      </c>
      <c r="K20" s="62" t="s">
        <v>146</v>
      </c>
      <c r="L20" s="51">
        <v>1</v>
      </c>
      <c r="M20" s="51">
        <f t="shared" ref="M20" si="9">L20*5</f>
        <v>5</v>
      </c>
      <c r="N20" s="51">
        <v>100</v>
      </c>
      <c r="O20" s="63" t="s">
        <v>171</v>
      </c>
      <c r="P20" s="52">
        <v>4.4000000000000003E-3</v>
      </c>
      <c r="Q20" s="52">
        <f t="shared" ref="Q20" si="10">P20*N20</f>
        <v>0.44</v>
      </c>
      <c r="R20" s="51"/>
      <c r="S20" s="59"/>
    </row>
    <row r="21" spans="1:19" x14ac:dyDescent="0.25">
      <c r="A21" s="1"/>
      <c r="B21" s="46">
        <f>ROW(B21) - ROW($B$9)</f>
        <v>12</v>
      </c>
      <c r="C21" s="53" t="s">
        <v>14</v>
      </c>
      <c r="D21" s="37" t="s">
        <v>33</v>
      </c>
      <c r="E21" s="37" t="s">
        <v>58</v>
      </c>
      <c r="F21" s="37" t="s">
        <v>77</v>
      </c>
      <c r="G21" s="61" t="s">
        <v>98</v>
      </c>
      <c r="H21" s="37" t="s">
        <v>113</v>
      </c>
      <c r="I21" s="37" t="s">
        <v>162</v>
      </c>
      <c r="J21" s="37" t="s">
        <v>133</v>
      </c>
      <c r="K21" s="61" t="s">
        <v>147</v>
      </c>
      <c r="L21" s="37">
        <v>2</v>
      </c>
      <c r="M21" s="37">
        <f>L21*5</f>
        <v>10</v>
      </c>
      <c r="N21" s="37">
        <v>100</v>
      </c>
      <c r="O21" s="63" t="s">
        <v>171</v>
      </c>
      <c r="P21" s="38">
        <v>4.7199999999999999E-2</v>
      </c>
      <c r="Q21" s="38">
        <f>P21*N21</f>
        <v>4.72</v>
      </c>
      <c r="R21" s="37"/>
      <c r="S21" s="59"/>
    </row>
    <row r="22" spans="1:19" ht="24" x14ac:dyDescent="0.25">
      <c r="A22" s="1"/>
      <c r="B22" s="47">
        <f t="shared" si="0"/>
        <v>13</v>
      </c>
      <c r="C22" s="54" t="s">
        <v>15</v>
      </c>
      <c r="D22" s="51" t="s">
        <v>34</v>
      </c>
      <c r="E22" s="51" t="s">
        <v>59</v>
      </c>
      <c r="F22" s="51" t="s">
        <v>79</v>
      </c>
      <c r="G22" s="62" t="s">
        <v>99</v>
      </c>
      <c r="H22" s="51" t="s">
        <v>117</v>
      </c>
      <c r="I22" s="51" t="s">
        <v>162</v>
      </c>
      <c r="J22" s="51" t="s">
        <v>134</v>
      </c>
      <c r="K22" s="62" t="s">
        <v>148</v>
      </c>
      <c r="L22" s="51">
        <v>1</v>
      </c>
      <c r="M22" s="51">
        <f t="shared" ref="M22" si="11">L22*5</f>
        <v>5</v>
      </c>
      <c r="N22" s="51">
        <v>20</v>
      </c>
      <c r="O22" s="63" t="s">
        <v>171</v>
      </c>
      <c r="P22" s="52">
        <v>3.1300000000000001E-2</v>
      </c>
      <c r="Q22" s="52">
        <f t="shared" ref="Q22" si="12">P22*N22</f>
        <v>0.626</v>
      </c>
      <c r="R22" s="51"/>
      <c r="S22" s="59"/>
    </row>
    <row r="23" spans="1:19" ht="24" x14ac:dyDescent="0.25">
      <c r="A23" s="1"/>
      <c r="B23" s="46">
        <f>ROW(B23) - ROW($B$9)</f>
        <v>14</v>
      </c>
      <c r="C23" s="53" t="s">
        <v>15</v>
      </c>
      <c r="D23" s="37" t="s">
        <v>35</v>
      </c>
      <c r="E23" s="37" t="s">
        <v>60</v>
      </c>
      <c r="F23" s="37" t="s">
        <v>79</v>
      </c>
      <c r="G23" s="61" t="s">
        <v>100</v>
      </c>
      <c r="H23" s="37" t="s">
        <v>117</v>
      </c>
      <c r="I23" s="37" t="s">
        <v>162</v>
      </c>
      <c r="J23" s="37" t="s">
        <v>135</v>
      </c>
      <c r="K23" s="61" t="s">
        <v>149</v>
      </c>
      <c r="L23" s="37">
        <v>1</v>
      </c>
      <c r="M23" s="37">
        <f>L23*5</f>
        <v>5</v>
      </c>
      <c r="N23" s="37">
        <v>20</v>
      </c>
      <c r="O23" s="63" t="s">
        <v>171</v>
      </c>
      <c r="P23" s="38">
        <v>2.0799999999999999E-2</v>
      </c>
      <c r="Q23" s="38">
        <f>P23*N23</f>
        <v>0.41599999999999998</v>
      </c>
      <c r="R23" s="37"/>
      <c r="S23" s="59"/>
    </row>
    <row r="24" spans="1:19" x14ac:dyDescent="0.25">
      <c r="A24" s="1"/>
      <c r="B24" s="46">
        <f>ROW(B24) - ROW($B$9)</f>
        <v>15</v>
      </c>
      <c r="C24" s="54" t="s">
        <v>16</v>
      </c>
      <c r="D24" s="37" t="s">
        <v>36</v>
      </c>
      <c r="E24" s="37" t="s">
        <v>61</v>
      </c>
      <c r="F24" s="37" t="s">
        <v>80</v>
      </c>
      <c r="G24" s="66" t="s">
        <v>101</v>
      </c>
      <c r="H24" s="37" t="s">
        <v>111</v>
      </c>
      <c r="I24" s="37" t="s">
        <v>175</v>
      </c>
      <c r="J24" s="37" t="s">
        <v>176</v>
      </c>
      <c r="K24" s="61" t="s">
        <v>150</v>
      </c>
      <c r="L24" s="37">
        <v>2</v>
      </c>
      <c r="M24" s="37">
        <f>L24*5</f>
        <v>10</v>
      </c>
      <c r="N24" s="37">
        <v>100</v>
      </c>
      <c r="O24" s="63" t="s">
        <v>171</v>
      </c>
      <c r="P24" s="38">
        <v>1.9E-3</v>
      </c>
      <c r="Q24" s="38">
        <f>P24*N24</f>
        <v>0.19</v>
      </c>
      <c r="R24" s="37"/>
      <c r="S24" s="59"/>
    </row>
    <row r="25" spans="1:19" x14ac:dyDescent="0.25">
      <c r="A25" s="1"/>
      <c r="B25" s="47">
        <f t="shared" si="0"/>
        <v>16</v>
      </c>
      <c r="C25" s="54" t="s">
        <v>16</v>
      </c>
      <c r="D25" s="51" t="s">
        <v>37</v>
      </c>
      <c r="E25" s="51" t="s">
        <v>62</v>
      </c>
      <c r="F25" s="51" t="s">
        <v>80</v>
      </c>
      <c r="G25" s="62" t="s">
        <v>102</v>
      </c>
      <c r="H25" s="51" t="s">
        <v>111</v>
      </c>
      <c r="I25" s="51" t="s">
        <v>162</v>
      </c>
      <c r="J25" s="51" t="s">
        <v>136</v>
      </c>
      <c r="K25" s="62" t="s">
        <v>151</v>
      </c>
      <c r="L25" s="51">
        <v>2</v>
      </c>
      <c r="M25" s="51">
        <f t="shared" ref="M25" si="13">L25*5</f>
        <v>10</v>
      </c>
      <c r="N25" s="51">
        <v>100</v>
      </c>
      <c r="O25" s="63" t="s">
        <v>171</v>
      </c>
      <c r="P25" s="52">
        <v>8.9999999999999998E-4</v>
      </c>
      <c r="Q25" s="52">
        <f t="shared" ref="Q25" si="14">P25*N25</f>
        <v>0.09</v>
      </c>
      <c r="R25" s="51"/>
      <c r="S25" s="59"/>
    </row>
    <row r="26" spans="1:19" x14ac:dyDescent="0.25">
      <c r="A26" s="1"/>
      <c r="B26" s="46">
        <f>ROW(B26) - ROW($B$9)</f>
        <v>17</v>
      </c>
      <c r="C26" s="53" t="s">
        <v>16</v>
      </c>
      <c r="D26" s="37" t="s">
        <v>38</v>
      </c>
      <c r="E26" s="37" t="s">
        <v>63</v>
      </c>
      <c r="F26" s="37" t="s">
        <v>80</v>
      </c>
      <c r="G26" s="61" t="s">
        <v>103</v>
      </c>
      <c r="H26" s="37" t="s">
        <v>111</v>
      </c>
      <c r="I26" s="37" t="s">
        <v>162</v>
      </c>
      <c r="J26" s="37" t="s">
        <v>137</v>
      </c>
      <c r="K26" s="61" t="s">
        <v>152</v>
      </c>
      <c r="L26" s="37">
        <v>3</v>
      </c>
      <c r="M26" s="37">
        <f>L26*5</f>
        <v>15</v>
      </c>
      <c r="N26" s="37">
        <v>100</v>
      </c>
      <c r="O26" s="63" t="s">
        <v>171</v>
      </c>
      <c r="P26" s="38">
        <v>1E-3</v>
      </c>
      <c r="Q26" s="38">
        <f>P26*N26</f>
        <v>0.1</v>
      </c>
      <c r="R26" s="37"/>
      <c r="S26" s="59"/>
    </row>
    <row r="27" spans="1:19" x14ac:dyDescent="0.25">
      <c r="A27" s="1"/>
      <c r="B27" s="47">
        <f t="shared" si="0"/>
        <v>18</v>
      </c>
      <c r="C27" s="54" t="s">
        <v>16</v>
      </c>
      <c r="D27" s="51" t="s">
        <v>39</v>
      </c>
      <c r="E27" s="51" t="s">
        <v>64</v>
      </c>
      <c r="F27" s="51" t="s">
        <v>80</v>
      </c>
      <c r="G27" s="62" t="s">
        <v>104</v>
      </c>
      <c r="H27" s="51" t="s">
        <v>111</v>
      </c>
      <c r="I27" s="51" t="s">
        <v>162</v>
      </c>
      <c r="J27" s="51" t="s">
        <v>172</v>
      </c>
      <c r="K27" s="62" t="s">
        <v>153</v>
      </c>
      <c r="L27" s="51">
        <v>6</v>
      </c>
      <c r="M27" s="51">
        <f t="shared" ref="M27" si="15">L27*5</f>
        <v>30</v>
      </c>
      <c r="N27" s="51">
        <v>100</v>
      </c>
      <c r="O27" s="63" t="s">
        <v>171</v>
      </c>
      <c r="P27" s="52">
        <v>8.9999999999999998E-4</v>
      </c>
      <c r="Q27" s="52">
        <f t="shared" ref="Q27" si="16">P27*N27</f>
        <v>0.09</v>
      </c>
      <c r="R27" s="51"/>
      <c r="S27" s="59"/>
    </row>
    <row r="28" spans="1:19" x14ac:dyDescent="0.25">
      <c r="A28" s="1"/>
      <c r="B28" s="46">
        <f>ROW(B28) - ROW($B$9)</f>
        <v>19</v>
      </c>
      <c r="C28" s="53" t="s">
        <v>17</v>
      </c>
      <c r="D28" s="37" t="s">
        <v>40</v>
      </c>
      <c r="E28" s="37" t="s">
        <v>65</v>
      </c>
      <c r="F28" s="37" t="s">
        <v>161</v>
      </c>
      <c r="G28" s="61" t="s">
        <v>81</v>
      </c>
      <c r="H28" s="37" t="s">
        <v>118</v>
      </c>
      <c r="I28" s="37" t="s">
        <v>162</v>
      </c>
      <c r="J28" s="37" t="s">
        <v>162</v>
      </c>
      <c r="K28" s="61" t="s">
        <v>154</v>
      </c>
      <c r="L28" s="37">
        <v>1</v>
      </c>
      <c r="M28" s="37">
        <f>L28*5</f>
        <v>5</v>
      </c>
      <c r="N28" s="37">
        <v>6</v>
      </c>
      <c r="O28" s="63" t="s">
        <v>177</v>
      </c>
      <c r="P28" s="38">
        <v>0.29399999999999998</v>
      </c>
      <c r="Q28" s="38">
        <f>P28*N28</f>
        <v>1.7639999999999998</v>
      </c>
      <c r="R28" s="37"/>
      <c r="S28" s="59"/>
    </row>
    <row r="29" spans="1:19" x14ac:dyDescent="0.25">
      <c r="A29" s="1"/>
      <c r="B29" s="46">
        <f>ROW(B29) - ROW($B$9)</f>
        <v>20</v>
      </c>
      <c r="C29" s="53" t="s">
        <v>18</v>
      </c>
      <c r="D29" s="37" t="s">
        <v>41</v>
      </c>
      <c r="E29" s="37" t="s">
        <v>66</v>
      </c>
      <c r="F29" s="37" t="s">
        <v>161</v>
      </c>
      <c r="G29" s="61" t="s">
        <v>82</v>
      </c>
      <c r="H29" s="37" t="s">
        <v>119</v>
      </c>
      <c r="I29" s="37" t="s">
        <v>162</v>
      </c>
      <c r="J29" s="37" t="s">
        <v>162</v>
      </c>
      <c r="K29" s="62" t="s">
        <v>162</v>
      </c>
      <c r="L29" s="37">
        <v>1</v>
      </c>
      <c r="M29" s="37">
        <f>L29*5</f>
        <v>5</v>
      </c>
      <c r="N29" s="37">
        <v>6</v>
      </c>
      <c r="O29" s="63" t="s">
        <v>177</v>
      </c>
      <c r="P29" s="38">
        <v>0.92730999999999997</v>
      </c>
      <c r="Q29" s="38">
        <f>P29*N29</f>
        <v>5.56386</v>
      </c>
      <c r="R29" s="37"/>
      <c r="S29" s="59"/>
    </row>
    <row r="30" spans="1:19" x14ac:dyDescent="0.25">
      <c r="A30" s="1"/>
      <c r="B30" s="47">
        <f t="shared" si="0"/>
        <v>21</v>
      </c>
      <c r="C30" s="54" t="s">
        <v>19</v>
      </c>
      <c r="D30" s="51" t="s">
        <v>42</v>
      </c>
      <c r="E30" s="51" t="s">
        <v>67</v>
      </c>
      <c r="F30" s="51" t="s">
        <v>83</v>
      </c>
      <c r="G30" s="62" t="s">
        <v>105</v>
      </c>
      <c r="H30" s="51" t="s">
        <v>120</v>
      </c>
      <c r="I30" s="51" t="s">
        <v>162</v>
      </c>
      <c r="J30" s="51" t="s">
        <v>162</v>
      </c>
      <c r="K30" s="62" t="s">
        <v>162</v>
      </c>
      <c r="L30" s="51">
        <v>1</v>
      </c>
      <c r="M30" s="51">
        <f t="shared" ref="M30" si="17">L30*5</f>
        <v>5</v>
      </c>
      <c r="N30" s="51">
        <v>6</v>
      </c>
      <c r="O30" s="63" t="s">
        <v>177</v>
      </c>
      <c r="P30" s="52">
        <v>13.868</v>
      </c>
      <c r="Q30" s="52">
        <f t="shared" ref="Q30" si="18">P30*N30</f>
        <v>83.207999999999998</v>
      </c>
      <c r="R30" s="51"/>
      <c r="S30" s="59"/>
    </row>
    <row r="31" spans="1:19" x14ac:dyDescent="0.25">
      <c r="A31" s="1"/>
      <c r="B31" s="46">
        <f>ROW(B31) - ROW($B$9)</f>
        <v>22</v>
      </c>
      <c r="C31" s="53" t="s">
        <v>19</v>
      </c>
      <c r="D31" s="37" t="s">
        <v>43</v>
      </c>
      <c r="E31" s="37" t="s">
        <v>68</v>
      </c>
      <c r="F31" s="37" t="s">
        <v>84</v>
      </c>
      <c r="G31" s="61" t="s">
        <v>106</v>
      </c>
      <c r="H31" s="37" t="s">
        <v>121</v>
      </c>
      <c r="I31" s="37" t="s">
        <v>162</v>
      </c>
      <c r="J31" s="37" t="s">
        <v>138</v>
      </c>
      <c r="K31" s="62" t="s">
        <v>162</v>
      </c>
      <c r="L31" s="37">
        <v>1</v>
      </c>
      <c r="M31" s="37">
        <f>L31*5</f>
        <v>5</v>
      </c>
      <c r="N31" s="37">
        <v>10</v>
      </c>
      <c r="O31" s="63" t="s">
        <v>171</v>
      </c>
      <c r="P31" s="38">
        <v>0.32479999999999998</v>
      </c>
      <c r="Q31" s="38">
        <f>P31*N31</f>
        <v>3.2479999999999998</v>
      </c>
      <c r="R31" s="37"/>
      <c r="S31" s="59"/>
    </row>
    <row r="32" spans="1:19" x14ac:dyDescent="0.25">
      <c r="A32" s="1"/>
      <c r="B32" s="47">
        <f t="shared" si="0"/>
        <v>23</v>
      </c>
      <c r="C32" s="54" t="s">
        <v>19</v>
      </c>
      <c r="D32" s="51" t="s">
        <v>44</v>
      </c>
      <c r="E32" s="51" t="s">
        <v>69</v>
      </c>
      <c r="F32" s="51" t="s">
        <v>85</v>
      </c>
      <c r="G32" s="62" t="s">
        <v>107</v>
      </c>
      <c r="H32" s="51" t="s">
        <v>122</v>
      </c>
      <c r="I32" s="51" t="s">
        <v>162</v>
      </c>
      <c r="J32" s="51" t="s">
        <v>162</v>
      </c>
      <c r="K32" s="62" t="s">
        <v>162</v>
      </c>
      <c r="L32" s="51">
        <v>1</v>
      </c>
      <c r="M32" s="51">
        <f t="shared" ref="M32" si="19">L32*5</f>
        <v>5</v>
      </c>
      <c r="N32" s="51">
        <v>6</v>
      </c>
      <c r="O32" s="63" t="s">
        <v>178</v>
      </c>
      <c r="P32" s="52">
        <v>1</v>
      </c>
      <c r="Q32" s="52">
        <f t="shared" ref="Q32" si="20">P32*N32</f>
        <v>6</v>
      </c>
      <c r="R32" s="51"/>
      <c r="S32" s="67"/>
    </row>
    <row r="33" spans="1:19" x14ac:dyDescent="0.25">
      <c r="A33" s="1"/>
      <c r="B33" s="46">
        <f>ROW(B33) - ROW($B$9)</f>
        <v>24</v>
      </c>
      <c r="C33" s="54" t="s">
        <v>20</v>
      </c>
      <c r="D33" s="37" t="s">
        <v>45</v>
      </c>
      <c r="E33" s="37" t="s">
        <v>70</v>
      </c>
      <c r="F33" s="51" t="s">
        <v>86</v>
      </c>
      <c r="G33" s="62" t="s">
        <v>108</v>
      </c>
      <c r="H33" s="51" t="s">
        <v>113</v>
      </c>
      <c r="I33" s="37" t="s">
        <v>162</v>
      </c>
      <c r="J33" s="37" t="s">
        <v>139</v>
      </c>
      <c r="K33" s="62" t="s">
        <v>155</v>
      </c>
      <c r="L33" s="37">
        <v>1</v>
      </c>
      <c r="M33" s="37">
        <f>L33*5</f>
        <v>5</v>
      </c>
      <c r="N33" s="37">
        <v>10</v>
      </c>
      <c r="O33" s="63" t="s">
        <v>171</v>
      </c>
      <c r="P33" s="38">
        <v>0.24129999999999999</v>
      </c>
      <c r="Q33" s="38">
        <f>P33*N33</f>
        <v>2.4129999999999998</v>
      </c>
      <c r="R33" s="37"/>
      <c r="S33" s="65"/>
    </row>
    <row r="34" spans="1:19" ht="30" x14ac:dyDescent="0.25">
      <c r="A34" s="1"/>
      <c r="B34" s="46">
        <f t="shared" ref="B34:B35" si="21">ROW(B34) - ROW($B$9)</f>
        <v>25</v>
      </c>
      <c r="C34" s="54" t="s">
        <v>160</v>
      </c>
      <c r="D34" s="37" t="s">
        <v>162</v>
      </c>
      <c r="E34" s="37" t="s">
        <v>180</v>
      </c>
      <c r="F34" s="37" t="s">
        <v>162</v>
      </c>
      <c r="G34" s="37" t="s">
        <v>179</v>
      </c>
      <c r="H34" s="37" t="s">
        <v>162</v>
      </c>
      <c r="I34" s="37" t="s">
        <v>162</v>
      </c>
      <c r="J34" s="37" t="s">
        <v>162</v>
      </c>
      <c r="K34" s="37" t="s">
        <v>162</v>
      </c>
      <c r="L34" s="37">
        <v>1</v>
      </c>
      <c r="M34" s="37">
        <f>L34*5</f>
        <v>5</v>
      </c>
      <c r="N34" s="37">
        <v>10</v>
      </c>
      <c r="O34" s="63" t="s">
        <v>181</v>
      </c>
      <c r="P34" s="38">
        <v>0.97</v>
      </c>
      <c r="Q34" s="38">
        <f>P34*N34</f>
        <v>9.6999999999999993</v>
      </c>
      <c r="R34" s="37"/>
      <c r="S34" s="59"/>
    </row>
    <row r="35" spans="1:19" ht="36.75" thickBot="1" x14ac:dyDescent="0.3">
      <c r="A35" s="1"/>
      <c r="B35" s="46">
        <f t="shared" si="21"/>
        <v>26</v>
      </c>
      <c r="C35" s="60" t="s">
        <v>160</v>
      </c>
      <c r="D35" s="37" t="s">
        <v>162</v>
      </c>
      <c r="E35" s="37" t="s">
        <v>182</v>
      </c>
      <c r="F35" s="37" t="s">
        <v>162</v>
      </c>
      <c r="G35" s="37" t="s">
        <v>183</v>
      </c>
      <c r="H35" s="37" t="s">
        <v>162</v>
      </c>
      <c r="I35" s="37" t="s">
        <v>162</v>
      </c>
      <c r="J35" s="37" t="s">
        <v>162</v>
      </c>
      <c r="K35" s="37" t="s">
        <v>162</v>
      </c>
      <c r="L35" s="37">
        <v>1</v>
      </c>
      <c r="M35" s="37">
        <f>L35*5</f>
        <v>5</v>
      </c>
      <c r="N35" s="37">
        <v>6</v>
      </c>
      <c r="O35" s="63" t="s">
        <v>181</v>
      </c>
      <c r="P35" s="38">
        <v>3.93</v>
      </c>
      <c r="Q35" s="38">
        <f>P35*N35</f>
        <v>23.580000000000002</v>
      </c>
      <c r="R35" s="37"/>
      <c r="S35" s="39"/>
    </row>
    <row r="36" spans="1:19" ht="19.5" thickBot="1" x14ac:dyDescent="0.3">
      <c r="A36" s="1"/>
      <c r="B36" s="40"/>
      <c r="C36" s="41"/>
      <c r="D36" s="42"/>
      <c r="E36" s="43"/>
      <c r="F36" s="44"/>
      <c r="G36" s="45"/>
      <c r="H36" s="44"/>
      <c r="I36" s="45"/>
      <c r="J36" s="44"/>
      <c r="K36" s="45"/>
      <c r="L36" s="45"/>
      <c r="M36" s="45"/>
      <c r="N36" s="76" t="s">
        <v>5</v>
      </c>
      <c r="O36" s="77"/>
      <c r="P36" s="77"/>
      <c r="Q36" s="48">
        <f>SUM(Q10:Q35)</f>
        <v>150.61386000000002</v>
      </c>
      <c r="R36" s="72"/>
      <c r="S36" s="73"/>
    </row>
    <row r="37" spans="1:19" ht="19.5" thickBot="1" x14ac:dyDescent="0.3">
      <c r="A37" s="1"/>
      <c r="B37" s="25"/>
      <c r="C37" s="36"/>
      <c r="D37" s="9"/>
      <c r="E37" s="10"/>
      <c r="F37" s="10"/>
      <c r="G37" s="10"/>
      <c r="H37" s="10"/>
      <c r="I37" s="10"/>
      <c r="J37" s="10"/>
      <c r="K37" s="10"/>
      <c r="L37" s="10"/>
      <c r="M37" s="10"/>
      <c r="N37" s="76" t="s">
        <v>6</v>
      </c>
      <c r="O37" s="77"/>
      <c r="P37" s="77"/>
      <c r="Q37" s="49">
        <f>Q36/5</f>
        <v>30.122772000000005</v>
      </c>
      <c r="R37" s="74"/>
      <c r="S37" s="75"/>
    </row>
  </sheetData>
  <mergeCells count="5">
    <mergeCell ref="K1:S1"/>
    <mergeCell ref="S3:S8"/>
    <mergeCell ref="R36:S37"/>
    <mergeCell ref="N36:P36"/>
    <mergeCell ref="N37:P37"/>
  </mergeCells>
  <hyperlinks>
    <hyperlink ref="O12" r:id="rId1"/>
    <hyperlink ref="O13" r:id="rId2"/>
    <hyperlink ref="O14" r:id="rId3"/>
    <hyperlink ref="O15" r:id="rId4"/>
    <hyperlink ref="O16" r:id="rId5"/>
    <hyperlink ref="O17" r:id="rId6"/>
    <hyperlink ref="O18" r:id="rId7"/>
    <hyperlink ref="O19" r:id="rId8"/>
    <hyperlink ref="O20" r:id="rId9"/>
    <hyperlink ref="O21" r:id="rId10"/>
    <hyperlink ref="O22" r:id="rId11"/>
    <hyperlink ref="O23" r:id="rId12"/>
    <hyperlink ref="O25" r:id="rId13"/>
    <hyperlink ref="O26" r:id="rId14"/>
    <hyperlink ref="O27" r:id="rId15"/>
    <hyperlink ref="O31" r:id="rId16"/>
    <hyperlink ref="O33" r:id="rId17"/>
    <hyperlink ref="O11" r:id="rId18"/>
    <hyperlink ref="O24" r:id="rId19"/>
    <hyperlink ref="O10" r:id="rId20"/>
    <hyperlink ref="O28" r:id="rId21"/>
    <hyperlink ref="O29" r:id="rId22"/>
    <hyperlink ref="O30" r:id="rId23"/>
    <hyperlink ref="O32" r:id="rId24"/>
    <hyperlink ref="O34" r:id="rId25"/>
    <hyperlink ref="O35" r:id="rId26"/>
  </hyperlinks>
  <pageMargins left="0.7" right="0.7" top="0.75" bottom="0.75" header="0.3" footer="0.3"/>
  <pageSetup paperSize="9" orientation="portrait" r:id="rId27"/>
  <drawing r:id="rId2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Boards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2024-03-22T07:26:41Z</dcterms:modified>
</cp:coreProperties>
</file>