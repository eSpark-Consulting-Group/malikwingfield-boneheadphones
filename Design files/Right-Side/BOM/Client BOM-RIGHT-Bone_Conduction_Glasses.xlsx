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alikwingfield-boneheadphones\Design files\Right-Side\BOM\"/>
    </mc:Choice>
  </mc:AlternateContent>
  <bookViews>
    <workbookView xWindow="28680" yWindow="-120" windowWidth="29040" windowHeight="15840"/>
  </bookViews>
  <sheets>
    <sheet name="5 Boards" sheetId="1" r:id="rId1"/>
  </sheets>
  <calcPr calcId="162913"/>
</workbook>
</file>

<file path=xl/calcChain.xml><?xml version="1.0" encoding="utf-8"?>
<calcChain xmlns="http://schemas.openxmlformats.org/spreadsheetml/2006/main">
  <c r="B28" i="1" l="1"/>
  <c r="K29" i="1" l="1"/>
  <c r="K27" i="1"/>
  <c r="B29" i="1" l="1"/>
  <c r="B27" i="1"/>
  <c r="K26" i="1"/>
  <c r="B26" i="1"/>
  <c r="K25" i="1"/>
  <c r="B25" i="1"/>
  <c r="K24" i="1"/>
  <c r="B24" i="1"/>
  <c r="K23" i="1"/>
  <c r="B23" i="1"/>
  <c r="K22" i="1"/>
  <c r="B22" i="1"/>
  <c r="K21" i="1"/>
  <c r="B21" i="1"/>
  <c r="K20" i="1"/>
  <c r="B20" i="1"/>
  <c r="K19" i="1"/>
  <c r="B19" i="1"/>
  <c r="K18" i="1"/>
  <c r="B18" i="1"/>
  <c r="K17" i="1"/>
  <c r="B17" i="1"/>
  <c r="K16" i="1"/>
  <c r="B16" i="1"/>
  <c r="K15" i="1"/>
  <c r="B15" i="1"/>
  <c r="K14" i="1"/>
  <c r="B14" i="1"/>
  <c r="K13" i="1"/>
  <c r="B13" i="1"/>
  <c r="K12" i="1"/>
  <c r="B12" i="1"/>
  <c r="K11" i="1"/>
  <c r="B11" i="1"/>
  <c r="K10" i="1"/>
  <c r="B10" i="1"/>
  <c r="K9" i="1"/>
  <c r="B9" i="1"/>
  <c r="K8" i="1"/>
  <c r="B8" i="1"/>
  <c r="K7" i="1"/>
  <c r="B7" i="1"/>
  <c r="K6" i="1"/>
  <c r="B6" i="1"/>
  <c r="K5" i="1"/>
  <c r="B5" i="1"/>
  <c r="K4" i="1"/>
  <c r="B4" i="1"/>
  <c r="K3" i="1"/>
  <c r="B3" i="1"/>
</calcChain>
</file>

<file path=xl/sharedStrings.xml><?xml version="1.0" encoding="utf-8"?>
<sst xmlns="http://schemas.openxmlformats.org/spreadsheetml/2006/main" count="199" uniqueCount="144">
  <si>
    <t>#</t>
  </si>
  <si>
    <t>Item Type</t>
  </si>
  <si>
    <t>Antenna</t>
  </si>
  <si>
    <t>Capacitor</t>
  </si>
  <si>
    <t>Diode</t>
  </si>
  <si>
    <t>Ferrite Bead</t>
  </si>
  <si>
    <t>USB B Connector</t>
  </si>
  <si>
    <t>Inductor</t>
  </si>
  <si>
    <t>LED</t>
  </si>
  <si>
    <t>Resistor</t>
  </si>
  <si>
    <t>Variable Resistor</t>
  </si>
  <si>
    <t>Switch</t>
  </si>
  <si>
    <t>IC</t>
  </si>
  <si>
    <t>Cystal</t>
  </si>
  <si>
    <t>Designator</t>
  </si>
  <si>
    <t>ANT1</t>
  </si>
  <si>
    <t>C1, C4, C5, C6, C7, C8, C9, C11, C12, C13, C14, C16, C17, C23, C28, C29, C30, C31</t>
  </si>
  <si>
    <t>C2, C10, C21, C22, C24, C26</t>
  </si>
  <si>
    <t>C3, C25, C27, C32</t>
  </si>
  <si>
    <t>C15</t>
  </si>
  <si>
    <t>C18</t>
  </si>
  <si>
    <t>C19, C20</t>
  </si>
  <si>
    <t>D1, D2, D3, D4</t>
  </si>
  <si>
    <t>FB1, FB2</t>
  </si>
  <si>
    <t>J2</t>
  </si>
  <si>
    <t>L1</t>
  </si>
  <si>
    <t>L2, L3</t>
  </si>
  <si>
    <t>LED1</t>
  </si>
  <si>
    <t>LED2</t>
  </si>
  <si>
    <t>R1, R6</t>
  </si>
  <si>
    <t>R2, R14</t>
  </si>
  <si>
    <t>R3, R4, R5</t>
  </si>
  <si>
    <t>R7, R8, R9, R10, R11, R13</t>
  </si>
  <si>
    <t>R12</t>
  </si>
  <si>
    <t>SW1</t>
  </si>
  <si>
    <t>U1</t>
  </si>
  <si>
    <t>U2</t>
  </si>
  <si>
    <t>U3</t>
  </si>
  <si>
    <t>X1</t>
  </si>
  <si>
    <t>Description</t>
  </si>
  <si>
    <t>5.05dBi Chip antenna Linear 160MHz 2.45GHz 1W 1206 Antennas ROHS</t>
  </si>
  <si>
    <t>CAP CER 1UF 6.3V X5R 0201</t>
  </si>
  <si>
    <t>CAP CER 10UF 10V X5R 0402</t>
  </si>
  <si>
    <t>CAP CER 0.1UF 10V X5R 0201</t>
  </si>
  <si>
    <t>CAP CER 2PF 25V C0G/NP0 0201</t>
  </si>
  <si>
    <t>CAP CER 1.3PF 50V C0G/NP0 0201</t>
  </si>
  <si>
    <t>CAP CER 3PF 50V C0G/NP0 0201</t>
  </si>
  <si>
    <t>TVS DIODE 5VWM 6.3VC DSN0603-2</t>
  </si>
  <si>
    <t>FERRITE BEAD 220 OHM 0603 1LN</t>
  </si>
  <si>
    <t>CONN RCPT USB2.0 MICRO B SMD R/A</t>
  </si>
  <si>
    <t>FIXED IND 2.7NH 500MA 200MOHM SM</t>
  </si>
  <si>
    <t>FIXED IND 10UH 50MA 1.17 OHM SMD</t>
  </si>
  <si>
    <t>blue 0603 Light Emitting Diodes (LED) ROHS</t>
  </si>
  <si>
    <t>RED LED 0603 Light Emitting Diodes</t>
  </si>
  <si>
    <t>RES 1K OHM 1% 1/20W 0201</t>
  </si>
  <si>
    <t>RES 15K OHM 1% 1/20W 0201</t>
  </si>
  <si>
    <t>RES 4.7K OHM 1% 1/20W 0201</t>
  </si>
  <si>
    <t>RES 100K OHM 1% 1/20W 0201</t>
  </si>
  <si>
    <t>TRIMMER 1M OHM 0.1W J LEAD TOP</t>
  </si>
  <si>
    <t>SWITCH TACTILE SPST-NO 0.05A 12V</t>
  </si>
  <si>
    <t>RF TXRX MODULE BLUETOOTH SMD</t>
  </si>
  <si>
    <t>IC AMP AUDIO PWR 3.2W D 9DSBGA</t>
  </si>
  <si>
    <t>3 CHANNEL TOUCH CONTROLLER, GPIO</t>
  </si>
  <si>
    <t>16MHz 15pF ±0.5%</t>
  </si>
  <si>
    <t>Footprint</t>
  </si>
  <si>
    <t>ANT3216LL00R2400A</t>
  </si>
  <si>
    <t>Cap-0201</t>
  </si>
  <si>
    <t>Cap-0402</t>
  </si>
  <si>
    <t>CAP-0201</t>
  </si>
  <si>
    <t>DSN0603-2</t>
  </si>
  <si>
    <t>IND-0603 (1608 Metric)</t>
  </si>
  <si>
    <t>IND-0201</t>
  </si>
  <si>
    <t>LED-0603</t>
  </si>
  <si>
    <t>Res-0201</t>
  </si>
  <si>
    <t>TC33X-2-105E</t>
  </si>
  <si>
    <t>B3U-1000P</t>
  </si>
  <si>
    <t>82-VFBGA</t>
  </si>
  <si>
    <t>9-DSBGA</t>
  </si>
  <si>
    <t>16-QFN (3x3).</t>
  </si>
  <si>
    <t>SMD3213-3P</t>
  </si>
  <si>
    <t>Manufacturer Part Number</t>
  </si>
  <si>
    <t>CC0201KRX5R5BB105</t>
  </si>
  <si>
    <t>CL05A106MP5NUNC</t>
  </si>
  <si>
    <t>CC0201KRX5R6BB104</t>
  </si>
  <si>
    <t>GRM0335C1E2R0BA01D</t>
  </si>
  <si>
    <t>GRM0335C1H1R3BA01D</t>
  </si>
  <si>
    <t>GRM0335C1H3R0BA01D</t>
  </si>
  <si>
    <t>PESD5V0H1BSFYL</t>
  </si>
  <si>
    <t>MPZ1608S221ATA00</t>
  </si>
  <si>
    <t>10118194-0001LF</t>
  </si>
  <si>
    <t>LQP03TN2N7B02D</t>
  </si>
  <si>
    <t>LQM18FN100M00D</t>
  </si>
  <si>
    <t>NCD0603B3</t>
  </si>
  <si>
    <t>NCD0603R3</t>
  </si>
  <si>
    <t>RC0201FR-071KP</t>
  </si>
  <si>
    <t>RC0201FR-0715KL</t>
  </si>
  <si>
    <t>RC0201FR-074K7L</t>
  </si>
  <si>
    <t>RC0201FR-07100KL</t>
  </si>
  <si>
    <t>IS2083BM-232</t>
  </si>
  <si>
    <t>TPA2011D1YFFR</t>
  </si>
  <si>
    <t>MTCH1030T-E/MG</t>
  </si>
  <si>
    <t>CSTCE16M0V53-R0</t>
  </si>
  <si>
    <t>Manufacturer</t>
  </si>
  <si>
    <t>YAGEO</t>
  </si>
  <si>
    <t>Yageo</t>
  </si>
  <si>
    <t>Samsung</t>
  </si>
  <si>
    <t>Murata</t>
  </si>
  <si>
    <t>Nexperia</t>
  </si>
  <si>
    <t>TDK</t>
  </si>
  <si>
    <t>Amphenol FCI</t>
  </si>
  <si>
    <t>Foshan NationStar Optoelectronics</t>
  </si>
  <si>
    <t>Bourns</t>
  </si>
  <si>
    <t>Omron</t>
  </si>
  <si>
    <t>Microchip Technology</t>
  </si>
  <si>
    <t>Texas Instruments</t>
  </si>
  <si>
    <t>Microchip</t>
  </si>
  <si>
    <t>1uF</t>
  </si>
  <si>
    <t>10uF</t>
  </si>
  <si>
    <t>0.1uF</t>
  </si>
  <si>
    <t>2pF</t>
  </si>
  <si>
    <t>1.3pF</t>
  </si>
  <si>
    <t>3pF</t>
  </si>
  <si>
    <t>2.7nH</t>
  </si>
  <si>
    <t>10uH</t>
  </si>
  <si>
    <t>Blue</t>
  </si>
  <si>
    <t>RED</t>
  </si>
  <si>
    <t>1K</t>
  </si>
  <si>
    <t>15k</t>
  </si>
  <si>
    <t>4.7K</t>
  </si>
  <si>
    <t>100K</t>
  </si>
  <si>
    <t>1M</t>
  </si>
  <si>
    <t>16MHz</t>
  </si>
  <si>
    <t>Quantity</t>
  </si>
  <si>
    <t>-</t>
  </si>
  <si>
    <t>Battery</t>
  </si>
  <si>
    <t>value</t>
  </si>
  <si>
    <t>5 Boards Quantity</t>
  </si>
  <si>
    <t>Remarks</t>
  </si>
  <si>
    <t>Custom</t>
  </si>
  <si>
    <t>Peripheral</t>
  </si>
  <si>
    <t>3.7V Lithium Polymer Rechargeable Battery 501230 300mah</t>
  </si>
  <si>
    <t>Bone Conduction Module Sensor Deafness Dumb Mini bone conduction horn speaker (GD02)</t>
  </si>
  <si>
    <t>Transducer (GD02)</t>
  </si>
  <si>
    <t>Touch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</si>
</sst>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/>
    <xf numFmtId="0" fontId="2" fillId="3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9"/>
  <sheetViews>
    <sheetView tabSelected="1" workbookViewId="0">
      <selection activeCell="D29" sqref="D29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6" bestFit="1" customWidth="1"/>
    <col min="10" max="10" width="8.7109375" bestFit="1" customWidth="1"/>
    <col min="11" max="11" width="16.7109375" bestFit="1" customWidth="1"/>
    <col min="13" max="13" width="10.5703125" bestFit="1" customWidth="1"/>
    <col min="14" max="14" width="25.28515625" bestFit="1" customWidth="1"/>
  </cols>
  <sheetData>
    <row r="1" spans="1:12" ht="15.75" thickBot="1" x14ac:dyDescent="0.3">
      <c r="A1" s="1"/>
      <c r="B1" s="3"/>
      <c r="C1" s="3"/>
      <c r="D1" s="2"/>
      <c r="E1" s="2"/>
      <c r="F1" s="2"/>
      <c r="G1" s="2"/>
      <c r="H1" s="2"/>
      <c r="I1" s="23"/>
      <c r="J1" s="23"/>
      <c r="K1" s="23"/>
      <c r="L1" s="23"/>
    </row>
    <row r="2" spans="1:12" ht="15.75" thickBot="1" x14ac:dyDescent="0.3">
      <c r="A2" s="1"/>
      <c r="B2" s="5" t="s">
        <v>0</v>
      </c>
      <c r="C2" s="5" t="s">
        <v>1</v>
      </c>
      <c r="D2" s="5" t="s">
        <v>14</v>
      </c>
      <c r="E2" s="6" t="s">
        <v>39</v>
      </c>
      <c r="F2" s="5" t="s">
        <v>64</v>
      </c>
      <c r="G2" s="6" t="s">
        <v>80</v>
      </c>
      <c r="H2" s="5" t="s">
        <v>102</v>
      </c>
      <c r="I2" s="6" t="s">
        <v>135</v>
      </c>
      <c r="J2" s="5" t="s">
        <v>132</v>
      </c>
      <c r="K2" s="5" t="s">
        <v>136</v>
      </c>
      <c r="L2" s="5" t="s">
        <v>137</v>
      </c>
    </row>
    <row r="3" spans="1:12" ht="24.75" thickBot="1" x14ac:dyDescent="0.3">
      <c r="A3" s="1"/>
      <c r="B3" s="11">
        <f>ROW(B3) - ROW($B$2)</f>
        <v>1</v>
      </c>
      <c r="C3" s="12" t="s">
        <v>2</v>
      </c>
      <c r="D3" s="7" t="s">
        <v>15</v>
      </c>
      <c r="E3" s="8" t="s">
        <v>40</v>
      </c>
      <c r="F3" s="7" t="s">
        <v>138</v>
      </c>
      <c r="G3" s="8" t="s">
        <v>65</v>
      </c>
      <c r="H3" s="7" t="s">
        <v>103</v>
      </c>
      <c r="I3" s="8" t="s">
        <v>133</v>
      </c>
      <c r="J3" s="7">
        <v>1</v>
      </c>
      <c r="K3" s="7">
        <f>J3*5</f>
        <v>5</v>
      </c>
      <c r="L3" s="7"/>
    </row>
    <row r="4" spans="1:12" ht="24.75" thickBot="1" x14ac:dyDescent="0.3">
      <c r="A4" s="1"/>
      <c r="B4" s="11">
        <f t="shared" ref="B4:B28" si="0">ROW(B4) - ROW($B$2)</f>
        <v>2</v>
      </c>
      <c r="C4" s="13" t="s">
        <v>3</v>
      </c>
      <c r="D4" s="9" t="s">
        <v>16</v>
      </c>
      <c r="E4" s="10" t="s">
        <v>41</v>
      </c>
      <c r="F4" s="9" t="s">
        <v>66</v>
      </c>
      <c r="G4" s="10" t="s">
        <v>81</v>
      </c>
      <c r="H4" s="9" t="s">
        <v>104</v>
      </c>
      <c r="I4" s="10" t="s">
        <v>116</v>
      </c>
      <c r="J4" s="9">
        <v>18</v>
      </c>
      <c r="K4" s="7">
        <f t="shared" ref="K4:K29" si="1">J4*5</f>
        <v>90</v>
      </c>
      <c r="L4" s="9"/>
    </row>
    <row r="5" spans="1:12" ht="15.75" thickBot="1" x14ac:dyDescent="0.3">
      <c r="A5" s="1"/>
      <c r="B5" s="11">
        <f>ROW(B5) - ROW($B$2)</f>
        <v>3</v>
      </c>
      <c r="C5" s="12" t="s">
        <v>3</v>
      </c>
      <c r="D5" s="7" t="s">
        <v>17</v>
      </c>
      <c r="E5" s="8" t="s">
        <v>42</v>
      </c>
      <c r="F5" s="7" t="s">
        <v>67</v>
      </c>
      <c r="G5" s="8" t="s">
        <v>82</v>
      </c>
      <c r="H5" s="7" t="s">
        <v>105</v>
      </c>
      <c r="I5" s="8" t="s">
        <v>117</v>
      </c>
      <c r="J5" s="7">
        <v>6</v>
      </c>
      <c r="K5" s="7">
        <f t="shared" si="1"/>
        <v>30</v>
      </c>
      <c r="L5" s="7"/>
    </row>
    <row r="6" spans="1:12" ht="15.75" thickBot="1" x14ac:dyDescent="0.3">
      <c r="A6" s="1"/>
      <c r="B6" s="11">
        <f t="shared" si="0"/>
        <v>4</v>
      </c>
      <c r="C6" s="12" t="s">
        <v>3</v>
      </c>
      <c r="D6" s="9" t="s">
        <v>18</v>
      </c>
      <c r="E6" s="10" t="s">
        <v>43</v>
      </c>
      <c r="F6" s="9" t="s">
        <v>68</v>
      </c>
      <c r="G6" s="10" t="s">
        <v>83</v>
      </c>
      <c r="H6" s="9" t="s">
        <v>104</v>
      </c>
      <c r="I6" s="10" t="s">
        <v>118</v>
      </c>
      <c r="J6" s="9">
        <v>4</v>
      </c>
      <c r="K6" s="7">
        <f t="shared" si="1"/>
        <v>20</v>
      </c>
      <c r="L6" s="9"/>
    </row>
    <row r="7" spans="1:12" ht="15.75" thickBot="1" x14ac:dyDescent="0.3">
      <c r="A7" s="1"/>
      <c r="B7" s="11">
        <f>ROW(B7) - ROW($B$2)</f>
        <v>5</v>
      </c>
      <c r="C7" s="12" t="s">
        <v>3</v>
      </c>
      <c r="D7" s="7" t="s">
        <v>19</v>
      </c>
      <c r="E7" s="8" t="s">
        <v>44</v>
      </c>
      <c r="F7" s="7" t="s">
        <v>68</v>
      </c>
      <c r="G7" s="8" t="s">
        <v>84</v>
      </c>
      <c r="H7" s="7" t="s">
        <v>106</v>
      </c>
      <c r="I7" s="8" t="s">
        <v>119</v>
      </c>
      <c r="J7" s="7">
        <v>1</v>
      </c>
      <c r="K7" s="7">
        <f t="shared" si="1"/>
        <v>5</v>
      </c>
      <c r="L7" s="7"/>
    </row>
    <row r="8" spans="1:12" ht="15.75" thickBot="1" x14ac:dyDescent="0.3">
      <c r="A8" s="1"/>
      <c r="B8" s="11">
        <f t="shared" si="0"/>
        <v>6</v>
      </c>
      <c r="C8" s="13" t="s">
        <v>3</v>
      </c>
      <c r="D8" s="9" t="s">
        <v>20</v>
      </c>
      <c r="E8" s="10" t="s">
        <v>45</v>
      </c>
      <c r="F8" s="9" t="s">
        <v>68</v>
      </c>
      <c r="G8" s="10" t="s">
        <v>85</v>
      </c>
      <c r="H8" s="9" t="s">
        <v>106</v>
      </c>
      <c r="I8" s="10" t="s">
        <v>120</v>
      </c>
      <c r="J8" s="9">
        <v>1</v>
      </c>
      <c r="K8" s="7">
        <f t="shared" si="1"/>
        <v>5</v>
      </c>
      <c r="L8" s="9"/>
    </row>
    <row r="9" spans="1:12" ht="15.75" thickBot="1" x14ac:dyDescent="0.3">
      <c r="A9" s="1"/>
      <c r="B9" s="11">
        <f>ROW(B9) - ROW($B$2)</f>
        <v>7</v>
      </c>
      <c r="C9" s="12" t="s">
        <v>3</v>
      </c>
      <c r="D9" s="7" t="s">
        <v>21</v>
      </c>
      <c r="E9" s="8" t="s">
        <v>46</v>
      </c>
      <c r="F9" s="7" t="s">
        <v>68</v>
      </c>
      <c r="G9" s="8" t="s">
        <v>86</v>
      </c>
      <c r="H9" s="7" t="s">
        <v>106</v>
      </c>
      <c r="I9" s="8" t="s">
        <v>121</v>
      </c>
      <c r="J9" s="7">
        <v>2</v>
      </c>
      <c r="K9" s="7">
        <f t="shared" si="1"/>
        <v>10</v>
      </c>
      <c r="L9" s="7"/>
    </row>
    <row r="10" spans="1:12" ht="15.75" thickBot="1" x14ac:dyDescent="0.3">
      <c r="A10" s="1"/>
      <c r="B10" s="11">
        <f t="shared" si="0"/>
        <v>8</v>
      </c>
      <c r="C10" s="13" t="s">
        <v>4</v>
      </c>
      <c r="D10" s="9" t="s">
        <v>22</v>
      </c>
      <c r="E10" s="10" t="s">
        <v>47</v>
      </c>
      <c r="F10" s="9" t="s">
        <v>69</v>
      </c>
      <c r="G10" s="10" t="s">
        <v>87</v>
      </c>
      <c r="H10" s="9" t="s">
        <v>107</v>
      </c>
      <c r="I10" s="10" t="s">
        <v>133</v>
      </c>
      <c r="J10" s="9">
        <v>4</v>
      </c>
      <c r="K10" s="7">
        <f t="shared" si="1"/>
        <v>20</v>
      </c>
      <c r="L10" s="9"/>
    </row>
    <row r="11" spans="1:12" ht="15.75" thickBot="1" x14ac:dyDescent="0.3">
      <c r="A11" s="1"/>
      <c r="B11" s="11">
        <f>ROW(B11) - ROW($B$2)</f>
        <v>9</v>
      </c>
      <c r="C11" s="12" t="s">
        <v>5</v>
      </c>
      <c r="D11" s="7" t="s">
        <v>23</v>
      </c>
      <c r="E11" s="8" t="s">
        <v>48</v>
      </c>
      <c r="F11" s="7" t="s">
        <v>70</v>
      </c>
      <c r="G11" s="8" t="s">
        <v>88</v>
      </c>
      <c r="H11" s="7" t="s">
        <v>108</v>
      </c>
      <c r="I11" s="10" t="s">
        <v>133</v>
      </c>
      <c r="J11" s="7">
        <v>2</v>
      </c>
      <c r="K11" s="7">
        <f t="shared" si="1"/>
        <v>10</v>
      </c>
      <c r="L11" s="7"/>
    </row>
    <row r="12" spans="1:12" ht="15.75" thickBot="1" x14ac:dyDescent="0.3">
      <c r="A12" s="1"/>
      <c r="B12" s="11">
        <f>ROW(B12) - ROW($B$2)</f>
        <v>10</v>
      </c>
      <c r="C12" s="12" t="s">
        <v>6</v>
      </c>
      <c r="D12" s="7" t="s">
        <v>24</v>
      </c>
      <c r="E12" s="8" t="s">
        <v>49</v>
      </c>
      <c r="F12" s="7" t="s">
        <v>138</v>
      </c>
      <c r="G12" s="8" t="s">
        <v>89</v>
      </c>
      <c r="H12" s="7" t="s">
        <v>109</v>
      </c>
      <c r="I12" s="10" t="s">
        <v>133</v>
      </c>
      <c r="J12" s="7">
        <v>1</v>
      </c>
      <c r="K12" s="7">
        <f t="shared" si="1"/>
        <v>5</v>
      </c>
      <c r="L12" s="7"/>
    </row>
    <row r="13" spans="1:12" ht="15.75" thickBot="1" x14ac:dyDescent="0.3">
      <c r="A13" s="18"/>
      <c r="B13" s="19">
        <f t="shared" si="0"/>
        <v>11</v>
      </c>
      <c r="C13" s="20" t="s">
        <v>7</v>
      </c>
      <c r="D13" s="14" t="s">
        <v>25</v>
      </c>
      <c r="E13" s="16" t="s">
        <v>50</v>
      </c>
      <c r="F13" s="14" t="s">
        <v>71</v>
      </c>
      <c r="G13" s="16" t="s">
        <v>90</v>
      </c>
      <c r="H13" s="14" t="s">
        <v>106</v>
      </c>
      <c r="I13" s="16" t="s">
        <v>122</v>
      </c>
      <c r="J13" s="14">
        <v>1</v>
      </c>
      <c r="K13" s="21">
        <f t="shared" si="1"/>
        <v>5</v>
      </c>
      <c r="L13" s="14"/>
    </row>
    <row r="14" spans="1:12" ht="15.75" thickBot="1" x14ac:dyDescent="0.3">
      <c r="A14" s="1"/>
      <c r="B14" s="11">
        <f>ROW(B14) - ROW($B$2)</f>
        <v>12</v>
      </c>
      <c r="C14" s="12" t="s">
        <v>7</v>
      </c>
      <c r="D14" s="7" t="s">
        <v>26</v>
      </c>
      <c r="E14" s="8" t="s">
        <v>51</v>
      </c>
      <c r="F14" s="7" t="s">
        <v>70</v>
      </c>
      <c r="G14" s="8" t="s">
        <v>91</v>
      </c>
      <c r="H14" s="7" t="s">
        <v>106</v>
      </c>
      <c r="I14" s="8" t="s">
        <v>123</v>
      </c>
      <c r="J14" s="7">
        <v>2</v>
      </c>
      <c r="K14" s="7">
        <f t="shared" si="1"/>
        <v>10</v>
      </c>
      <c r="L14" s="7"/>
    </row>
    <row r="15" spans="1:12" ht="24.75" thickBot="1" x14ac:dyDescent="0.3">
      <c r="A15" s="1"/>
      <c r="B15" s="11">
        <f t="shared" si="0"/>
        <v>13</v>
      </c>
      <c r="C15" s="13" t="s">
        <v>8</v>
      </c>
      <c r="D15" s="9" t="s">
        <v>27</v>
      </c>
      <c r="E15" s="10" t="s">
        <v>52</v>
      </c>
      <c r="F15" s="9" t="s">
        <v>72</v>
      </c>
      <c r="G15" s="10" t="s">
        <v>92</v>
      </c>
      <c r="H15" s="9" t="s">
        <v>110</v>
      </c>
      <c r="I15" s="10" t="s">
        <v>124</v>
      </c>
      <c r="J15" s="9">
        <v>1</v>
      </c>
      <c r="K15" s="7">
        <f t="shared" si="1"/>
        <v>5</v>
      </c>
      <c r="L15" s="9"/>
    </row>
    <row r="16" spans="1:12" ht="24.75" thickBot="1" x14ac:dyDescent="0.3">
      <c r="A16" s="1"/>
      <c r="B16" s="11">
        <f>ROW(B16) - ROW($B$2)</f>
        <v>14</v>
      </c>
      <c r="C16" s="12" t="s">
        <v>8</v>
      </c>
      <c r="D16" s="7" t="s">
        <v>28</v>
      </c>
      <c r="E16" s="8" t="s">
        <v>53</v>
      </c>
      <c r="F16" s="7" t="s">
        <v>72</v>
      </c>
      <c r="G16" s="8" t="s">
        <v>93</v>
      </c>
      <c r="H16" s="7" t="s">
        <v>110</v>
      </c>
      <c r="I16" s="8" t="s">
        <v>125</v>
      </c>
      <c r="J16" s="7">
        <v>1</v>
      </c>
      <c r="K16" s="7">
        <f t="shared" si="1"/>
        <v>5</v>
      </c>
      <c r="L16" s="7"/>
    </row>
    <row r="17" spans="1:12" ht="15.75" thickBot="1" x14ac:dyDescent="0.3">
      <c r="A17" s="1"/>
      <c r="B17" s="11">
        <f>ROW(B17) - ROW($B$2)</f>
        <v>15</v>
      </c>
      <c r="C17" s="13" t="s">
        <v>9</v>
      </c>
      <c r="D17" s="7" t="s">
        <v>29</v>
      </c>
      <c r="E17" s="8" t="s">
        <v>54</v>
      </c>
      <c r="F17" s="7" t="s">
        <v>73</v>
      </c>
      <c r="G17" s="8" t="s">
        <v>94</v>
      </c>
      <c r="H17" s="7" t="s">
        <v>104</v>
      </c>
      <c r="I17" s="8" t="s">
        <v>126</v>
      </c>
      <c r="J17" s="7">
        <v>2</v>
      </c>
      <c r="K17" s="7">
        <f t="shared" si="1"/>
        <v>10</v>
      </c>
      <c r="L17" s="7"/>
    </row>
    <row r="18" spans="1:12" ht="15.75" thickBot="1" x14ac:dyDescent="0.3">
      <c r="A18" s="1"/>
      <c r="B18" s="11">
        <f t="shared" si="0"/>
        <v>16</v>
      </c>
      <c r="C18" s="13" t="s">
        <v>9</v>
      </c>
      <c r="D18" s="9" t="s">
        <v>30</v>
      </c>
      <c r="E18" s="10" t="s">
        <v>55</v>
      </c>
      <c r="F18" s="9" t="s">
        <v>73</v>
      </c>
      <c r="G18" s="10" t="s">
        <v>95</v>
      </c>
      <c r="H18" s="9" t="s">
        <v>104</v>
      </c>
      <c r="I18" s="10" t="s">
        <v>127</v>
      </c>
      <c r="J18" s="9">
        <v>2</v>
      </c>
      <c r="K18" s="7">
        <f t="shared" si="1"/>
        <v>10</v>
      </c>
      <c r="L18" s="9"/>
    </row>
    <row r="19" spans="1:12" ht="15.75" thickBot="1" x14ac:dyDescent="0.3">
      <c r="A19" s="1"/>
      <c r="B19" s="11">
        <f>ROW(B19) - ROW($B$2)</f>
        <v>17</v>
      </c>
      <c r="C19" s="12" t="s">
        <v>9</v>
      </c>
      <c r="D19" s="7" t="s">
        <v>31</v>
      </c>
      <c r="E19" s="8" t="s">
        <v>56</v>
      </c>
      <c r="F19" s="7" t="s">
        <v>73</v>
      </c>
      <c r="G19" s="8" t="s">
        <v>96</v>
      </c>
      <c r="H19" s="7" t="s">
        <v>104</v>
      </c>
      <c r="I19" s="8" t="s">
        <v>128</v>
      </c>
      <c r="J19" s="7">
        <v>3</v>
      </c>
      <c r="K19" s="7">
        <f t="shared" si="1"/>
        <v>15</v>
      </c>
      <c r="L19" s="7"/>
    </row>
    <row r="20" spans="1:12" ht="15.75" thickBot="1" x14ac:dyDescent="0.3">
      <c r="A20" s="1"/>
      <c r="B20" s="11">
        <f t="shared" si="0"/>
        <v>18</v>
      </c>
      <c r="C20" s="13" t="s">
        <v>9</v>
      </c>
      <c r="D20" s="9" t="s">
        <v>32</v>
      </c>
      <c r="E20" s="10" t="s">
        <v>57</v>
      </c>
      <c r="F20" s="9" t="s">
        <v>73</v>
      </c>
      <c r="G20" s="10" t="s">
        <v>97</v>
      </c>
      <c r="H20" s="9" t="s">
        <v>104</v>
      </c>
      <c r="I20" s="10" t="s">
        <v>129</v>
      </c>
      <c r="J20" s="9">
        <v>6</v>
      </c>
      <c r="K20" s="7">
        <f t="shared" si="1"/>
        <v>30</v>
      </c>
      <c r="L20" s="9"/>
    </row>
    <row r="21" spans="1:12" ht="15.75" thickBot="1" x14ac:dyDescent="0.3">
      <c r="A21" s="1"/>
      <c r="B21" s="11">
        <f>ROW(B21) - ROW($B$2)</f>
        <v>19</v>
      </c>
      <c r="C21" s="12" t="s">
        <v>10</v>
      </c>
      <c r="D21" s="7" t="s">
        <v>33</v>
      </c>
      <c r="E21" s="8" t="s">
        <v>58</v>
      </c>
      <c r="F21" s="7" t="s">
        <v>138</v>
      </c>
      <c r="G21" s="8" t="s">
        <v>74</v>
      </c>
      <c r="H21" s="7" t="s">
        <v>111</v>
      </c>
      <c r="I21" s="8" t="s">
        <v>130</v>
      </c>
      <c r="J21" s="7">
        <v>1</v>
      </c>
      <c r="K21" s="7">
        <f t="shared" si="1"/>
        <v>5</v>
      </c>
      <c r="L21" s="7"/>
    </row>
    <row r="22" spans="1:12" ht="15.75" thickBot="1" x14ac:dyDescent="0.3">
      <c r="A22" s="1"/>
      <c r="B22" s="11">
        <f>ROW(B22) - ROW($B$2)</f>
        <v>20</v>
      </c>
      <c r="C22" s="12" t="s">
        <v>11</v>
      </c>
      <c r="D22" s="7" t="s">
        <v>34</v>
      </c>
      <c r="E22" s="8" t="s">
        <v>59</v>
      </c>
      <c r="F22" s="7" t="s">
        <v>138</v>
      </c>
      <c r="G22" s="8" t="s">
        <v>75</v>
      </c>
      <c r="H22" s="7" t="s">
        <v>112</v>
      </c>
      <c r="I22" s="10" t="s">
        <v>133</v>
      </c>
      <c r="J22" s="7">
        <v>1</v>
      </c>
      <c r="K22" s="7">
        <f t="shared" si="1"/>
        <v>5</v>
      </c>
      <c r="L22" s="7"/>
    </row>
    <row r="23" spans="1:12" ht="15.75" thickBot="1" x14ac:dyDescent="0.3">
      <c r="A23" s="1"/>
      <c r="B23" s="11">
        <f t="shared" si="0"/>
        <v>21</v>
      </c>
      <c r="C23" s="13" t="s">
        <v>12</v>
      </c>
      <c r="D23" s="9" t="s">
        <v>35</v>
      </c>
      <c r="E23" s="10" t="s">
        <v>60</v>
      </c>
      <c r="F23" s="9" t="s">
        <v>76</v>
      </c>
      <c r="G23" s="10" t="s">
        <v>98</v>
      </c>
      <c r="H23" s="9" t="s">
        <v>113</v>
      </c>
      <c r="I23" s="10" t="s">
        <v>133</v>
      </c>
      <c r="J23" s="9">
        <v>1</v>
      </c>
      <c r="K23" s="7">
        <f t="shared" si="1"/>
        <v>5</v>
      </c>
      <c r="L23" s="9"/>
    </row>
    <row r="24" spans="1:12" ht="15.75" thickBot="1" x14ac:dyDescent="0.3">
      <c r="A24" s="1"/>
      <c r="B24" s="11">
        <f>ROW(B24) - ROW($B$2)</f>
        <v>22</v>
      </c>
      <c r="C24" s="12" t="s">
        <v>12</v>
      </c>
      <c r="D24" s="7" t="s">
        <v>36</v>
      </c>
      <c r="E24" s="8" t="s">
        <v>61</v>
      </c>
      <c r="F24" s="7" t="s">
        <v>77</v>
      </c>
      <c r="G24" s="8" t="s">
        <v>99</v>
      </c>
      <c r="H24" s="7" t="s">
        <v>114</v>
      </c>
      <c r="I24" s="10" t="s">
        <v>133</v>
      </c>
      <c r="J24" s="7">
        <v>1</v>
      </c>
      <c r="K24" s="7">
        <f t="shared" si="1"/>
        <v>5</v>
      </c>
      <c r="L24" s="7"/>
    </row>
    <row r="25" spans="1:12" ht="15.75" thickBot="1" x14ac:dyDescent="0.3">
      <c r="A25" s="1"/>
      <c r="B25" s="11">
        <f t="shared" si="0"/>
        <v>23</v>
      </c>
      <c r="C25" s="13" t="s">
        <v>12</v>
      </c>
      <c r="D25" s="9" t="s">
        <v>37</v>
      </c>
      <c r="E25" s="10" t="s">
        <v>62</v>
      </c>
      <c r="F25" s="9" t="s">
        <v>78</v>
      </c>
      <c r="G25" s="10" t="s">
        <v>100</v>
      </c>
      <c r="H25" s="9" t="s">
        <v>115</v>
      </c>
      <c r="I25" s="10" t="s">
        <v>133</v>
      </c>
      <c r="J25" s="9">
        <v>1</v>
      </c>
      <c r="K25" s="7">
        <f t="shared" si="1"/>
        <v>5</v>
      </c>
      <c r="L25" s="9"/>
    </row>
    <row r="26" spans="1:12" ht="15.75" thickBot="1" x14ac:dyDescent="0.3">
      <c r="A26" s="1"/>
      <c r="B26" s="11">
        <f t="shared" si="0"/>
        <v>24</v>
      </c>
      <c r="C26" s="13" t="s">
        <v>13</v>
      </c>
      <c r="D26" s="9" t="s">
        <v>38</v>
      </c>
      <c r="E26" s="10" t="s">
        <v>63</v>
      </c>
      <c r="F26" s="9" t="s">
        <v>79</v>
      </c>
      <c r="G26" s="10" t="s">
        <v>101</v>
      </c>
      <c r="H26" s="9" t="s">
        <v>106</v>
      </c>
      <c r="I26" s="10" t="s">
        <v>131</v>
      </c>
      <c r="J26" s="9">
        <v>1</v>
      </c>
      <c r="K26" s="7">
        <f t="shared" si="1"/>
        <v>5</v>
      </c>
      <c r="L26" s="9"/>
    </row>
    <row r="27" spans="1:12" ht="24.75" thickBot="1" x14ac:dyDescent="0.3">
      <c r="A27" s="1"/>
      <c r="B27" s="11">
        <f t="shared" si="0"/>
        <v>25</v>
      </c>
      <c r="C27" s="13" t="s">
        <v>139</v>
      </c>
      <c r="D27" s="9" t="s">
        <v>133</v>
      </c>
      <c r="E27" s="7" t="s">
        <v>140</v>
      </c>
      <c r="F27" s="7" t="s">
        <v>133</v>
      </c>
      <c r="G27" s="10" t="s">
        <v>134</v>
      </c>
      <c r="H27" s="7" t="s">
        <v>133</v>
      </c>
      <c r="I27" s="10" t="s">
        <v>133</v>
      </c>
      <c r="J27" s="9">
        <v>1</v>
      </c>
      <c r="K27" s="7">
        <f t="shared" si="1"/>
        <v>5</v>
      </c>
      <c r="L27" s="9"/>
    </row>
    <row r="28" spans="1:12" ht="15.75" thickBot="1" x14ac:dyDescent="0.3">
      <c r="A28" s="1"/>
      <c r="B28" s="11">
        <f t="shared" si="0"/>
        <v>26</v>
      </c>
      <c r="C28" s="13" t="s">
        <v>139</v>
      </c>
      <c r="D28" s="9" t="s">
        <v>133</v>
      </c>
      <c r="E28" s="7"/>
      <c r="F28" s="9" t="s">
        <v>133</v>
      </c>
      <c r="G28" s="10" t="s">
        <v>143</v>
      </c>
      <c r="H28" s="9" t="s">
        <v>133</v>
      </c>
      <c r="I28" s="10" t="s">
        <v>133</v>
      </c>
      <c r="J28" s="9">
        <v>1</v>
      </c>
      <c r="K28" s="7">
        <v>5</v>
      </c>
      <c r="L28" s="9"/>
    </row>
    <row r="29" spans="1:12" ht="36.75" thickBot="1" x14ac:dyDescent="0.3">
      <c r="A29" s="1"/>
      <c r="B29" s="11">
        <f>ROW(B29) - ROW($B$2)</f>
        <v>27</v>
      </c>
      <c r="C29" s="22" t="s">
        <v>139</v>
      </c>
      <c r="D29" s="15" t="s">
        <v>133</v>
      </c>
      <c r="E29" s="15" t="s">
        <v>141</v>
      </c>
      <c r="F29" s="15" t="s">
        <v>133</v>
      </c>
      <c r="G29" s="15" t="s">
        <v>142</v>
      </c>
      <c r="H29" s="15" t="s">
        <v>133</v>
      </c>
      <c r="I29" s="17" t="s">
        <v>133</v>
      </c>
      <c r="J29" s="15">
        <v>1</v>
      </c>
      <c r="K29" s="15">
        <f t="shared" si="1"/>
        <v>5</v>
      </c>
      <c r="L29" s="15"/>
    </row>
  </sheetData>
  <mergeCells count="1">
    <mergeCell ref="I1:L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2024-03-22T08:10:12Z</dcterms:modified>
</cp:coreProperties>
</file>